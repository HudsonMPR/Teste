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Hudson\Part\Gastos 2026 - Viagem\"/>
    </mc:Choice>
  </mc:AlternateContent>
  <xr:revisionPtr revIDLastSave="0" documentId="13_ncr:1_{0D4A4EA0-8239-4ABC-A4CD-75844A4664CA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Nov 26" sheetId="45" r:id="rId1"/>
    <sheet name="Out 26" sheetId="44" r:id="rId2"/>
    <sheet name="Set 26" sheetId="39" r:id="rId3"/>
  </sheets>
  <functionGroups builtInGroupCount="19"/>
  <definedNames>
    <definedName name="_xlnm._FilterDatabase" localSheetId="2" hidden="1">'Set 26'!$G$6:$V$200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11" i="45" l="1"/>
  <c r="G133" i="45"/>
  <c r="G134" i="45"/>
  <c r="G135" i="45"/>
  <c r="G136" i="45"/>
  <c r="G137" i="45"/>
  <c r="H137" i="45" s="1"/>
  <c r="I137" i="45" s="1"/>
  <c r="G138" i="45"/>
  <c r="G50" i="45"/>
  <c r="G64" i="45"/>
  <c r="L64" i="45" s="1"/>
  <c r="S200" i="45"/>
  <c r="Q200" i="45"/>
  <c r="P200" i="45"/>
  <c r="O200" i="45"/>
  <c r="M200" i="45"/>
  <c r="G200" i="45"/>
  <c r="E200" i="45"/>
  <c r="E63" i="45"/>
  <c r="E64" i="45"/>
  <c r="E65" i="45"/>
  <c r="E66" i="45"/>
  <c r="G63" i="45"/>
  <c r="N134" i="45"/>
  <c r="M133" i="45"/>
  <c r="M134" i="45"/>
  <c r="M135" i="45"/>
  <c r="M132" i="45"/>
  <c r="E133" i="45"/>
  <c r="AR5" i="45"/>
  <c r="T211" i="45"/>
  <c r="L182" i="44"/>
  <c r="G108" i="45"/>
  <c r="G109" i="45"/>
  <c r="N213" i="44"/>
  <c r="L213" i="44"/>
  <c r="E244" i="44"/>
  <c r="L244" i="44"/>
  <c r="G244" i="44"/>
  <c r="G88" i="45"/>
  <c r="G199" i="45"/>
  <c r="G132" i="45"/>
  <c r="E132" i="45"/>
  <c r="E134" i="45"/>
  <c r="E135" i="45"/>
  <c r="E136" i="45"/>
  <c r="G198" i="45"/>
  <c r="G87" i="45"/>
  <c r="G86" i="45"/>
  <c r="L201" i="45"/>
  <c r="L202" i="45"/>
  <c r="L203" i="45"/>
  <c r="E197" i="45"/>
  <c r="E198" i="45"/>
  <c r="E199" i="45"/>
  <c r="E201" i="45"/>
  <c r="E202" i="45"/>
  <c r="E203" i="45"/>
  <c r="G197" i="45"/>
  <c r="AB65" i="45"/>
  <c r="G84" i="45"/>
  <c r="Q14" i="45"/>
  <c r="Q15" i="45"/>
  <c r="Q16" i="45"/>
  <c r="Q20" i="45"/>
  <c r="Q21" i="45"/>
  <c r="Q22" i="45"/>
  <c r="Q23" i="45"/>
  <c r="Q24" i="45"/>
  <c r="Q28" i="45"/>
  <c r="Q29" i="45"/>
  <c r="Q30" i="45"/>
  <c r="Q31" i="45"/>
  <c r="Q32" i="45"/>
  <c r="Q33" i="45"/>
  <c r="Q34" i="45"/>
  <c r="Q35" i="45"/>
  <c r="Q37" i="45"/>
  <c r="Q41" i="45"/>
  <c r="Q42" i="45"/>
  <c r="Q43" i="45"/>
  <c r="Q50" i="45"/>
  <c r="Q51" i="45"/>
  <c r="Q52" i="45"/>
  <c r="Q53" i="45"/>
  <c r="Q54" i="45"/>
  <c r="Q58" i="45"/>
  <c r="Q59" i="45"/>
  <c r="Q60" i="45"/>
  <c r="Q61" i="45"/>
  <c r="Q62" i="45"/>
  <c r="Q63" i="45"/>
  <c r="Q64" i="45"/>
  <c r="Q65" i="45"/>
  <c r="Q66" i="45"/>
  <c r="Q67" i="45"/>
  <c r="Q68" i="45"/>
  <c r="Q69" i="45"/>
  <c r="Q70" i="45"/>
  <c r="Q71" i="45"/>
  <c r="Q72" i="45"/>
  <c r="Q73" i="45"/>
  <c r="Q74" i="45"/>
  <c r="Q75" i="45"/>
  <c r="Q76" i="45"/>
  <c r="Q77" i="45"/>
  <c r="Q81" i="45"/>
  <c r="Q82" i="45"/>
  <c r="Q83" i="45"/>
  <c r="Q84" i="45"/>
  <c r="Q85" i="45"/>
  <c r="Q86" i="45"/>
  <c r="Q87" i="45"/>
  <c r="Q88" i="45"/>
  <c r="Q89" i="45"/>
  <c r="Q90" i="45"/>
  <c r="Q91" i="45"/>
  <c r="Q92" i="45"/>
  <c r="Q93" i="45"/>
  <c r="Q94" i="45"/>
  <c r="Q95" i="45"/>
  <c r="Q99" i="45"/>
  <c r="Q100" i="45"/>
  <c r="Q101" i="45"/>
  <c r="Q102" i="45"/>
  <c r="Q103" i="45"/>
  <c r="Q107" i="45"/>
  <c r="Q108" i="45"/>
  <c r="Q109" i="45"/>
  <c r="Q110" i="45"/>
  <c r="Q111" i="45"/>
  <c r="Q112" i="45"/>
  <c r="Q113" i="45"/>
  <c r="Q114" i="45"/>
  <c r="Q118" i="45"/>
  <c r="Q119" i="45"/>
  <c r="Q120" i="45"/>
  <c r="Q121" i="45"/>
  <c r="Q122" i="45"/>
  <c r="Q123" i="45"/>
  <c r="Q124" i="45"/>
  <c r="Q125" i="45"/>
  <c r="Q126" i="45"/>
  <c r="Q130" i="45"/>
  <c r="Q131" i="45"/>
  <c r="Q132" i="45"/>
  <c r="Q133" i="45"/>
  <c r="Q135" i="45"/>
  <c r="Q136" i="45"/>
  <c r="Q137" i="45"/>
  <c r="Q138" i="45"/>
  <c r="Q142" i="45"/>
  <c r="Q143" i="45"/>
  <c r="Q144" i="45"/>
  <c r="Q145" i="45"/>
  <c r="Q146" i="45"/>
  <c r="Q147" i="45"/>
  <c r="Q148" i="45"/>
  <c r="Q149" i="45"/>
  <c r="Q150" i="45"/>
  <c r="Q151" i="45"/>
  <c r="Q152" i="45"/>
  <c r="Q153" i="45"/>
  <c r="Q154" i="45"/>
  <c r="Q155" i="45"/>
  <c r="Q156" i="45"/>
  <c r="Q157" i="45"/>
  <c r="Q158" i="45"/>
  <c r="Q159" i="45"/>
  <c r="Q160" i="45"/>
  <c r="Q161" i="45"/>
  <c r="Q162" i="45"/>
  <c r="Q163" i="45"/>
  <c r="Q164" i="45"/>
  <c r="Q165" i="45"/>
  <c r="Q166" i="45"/>
  <c r="Q167" i="45"/>
  <c r="Q168" i="45"/>
  <c r="Q169" i="45"/>
  <c r="Q170" i="45"/>
  <c r="Q171" i="45"/>
  <c r="Q172" i="45"/>
  <c r="Q173" i="45"/>
  <c r="Q177" i="45"/>
  <c r="Q178" i="45"/>
  <c r="Q179" i="45"/>
  <c r="Q180" i="45"/>
  <c r="Q181" i="45"/>
  <c r="Q182" i="45"/>
  <c r="Q183" i="45"/>
  <c r="Q184" i="45"/>
  <c r="Q185" i="45"/>
  <c r="Q186" i="45"/>
  <c r="Q187" i="45"/>
  <c r="Q191" i="45"/>
  <c r="Q192" i="45"/>
  <c r="Q197" i="45"/>
  <c r="Q199" i="45"/>
  <c r="Q201" i="45"/>
  <c r="Q202" i="45"/>
  <c r="Q203" i="45"/>
  <c r="Q207" i="45"/>
  <c r="Q208" i="45"/>
  <c r="Q209" i="45"/>
  <c r="Q210" i="45"/>
  <c r="Q211" i="45"/>
  <c r="Q212" i="45"/>
  <c r="Q213" i="45"/>
  <c r="Q214" i="45"/>
  <c r="Q215" i="45"/>
  <c r="Q219" i="45"/>
  <c r="Q221" i="45"/>
  <c r="Q222" i="45"/>
  <c r="Q223" i="45"/>
  <c r="Q224" i="45"/>
  <c r="Q225" i="45"/>
  <c r="Q226" i="45"/>
  <c r="Q227" i="45"/>
  <c r="Q228" i="45"/>
  <c r="Q229" i="45"/>
  <c r="Q230" i="45"/>
  <c r="Q231" i="45"/>
  <c r="Q232" i="45"/>
  <c r="Q233" i="45"/>
  <c r="Q234" i="45"/>
  <c r="Q235" i="45"/>
  <c r="Q236" i="45"/>
  <c r="Q237" i="45"/>
  <c r="Q238" i="45"/>
  <c r="Q239" i="45"/>
  <c r="Q13" i="45"/>
  <c r="Q12" i="45"/>
  <c r="P14" i="45"/>
  <c r="P15" i="45"/>
  <c r="P16" i="45"/>
  <c r="P20" i="45"/>
  <c r="P21" i="45"/>
  <c r="P22" i="45"/>
  <c r="P23" i="45"/>
  <c r="P24" i="45"/>
  <c r="P28" i="45"/>
  <c r="P29" i="45"/>
  <c r="P30" i="45"/>
  <c r="P31" i="45"/>
  <c r="P32" i="45"/>
  <c r="P33" i="45"/>
  <c r="P34" i="45"/>
  <c r="P35" i="45"/>
  <c r="P36" i="45"/>
  <c r="P37" i="45"/>
  <c r="P44" i="45"/>
  <c r="P45" i="45"/>
  <c r="P46" i="45"/>
  <c r="P50" i="45"/>
  <c r="P51" i="45"/>
  <c r="P52" i="45"/>
  <c r="P53" i="45"/>
  <c r="P54" i="45"/>
  <c r="P58" i="45"/>
  <c r="P59" i="45"/>
  <c r="P60" i="45"/>
  <c r="P61" i="45"/>
  <c r="P62" i="45"/>
  <c r="P63" i="45"/>
  <c r="P64" i="45"/>
  <c r="P65" i="45"/>
  <c r="P66" i="45"/>
  <c r="P67" i="45"/>
  <c r="P68" i="45"/>
  <c r="P69" i="45"/>
  <c r="P70" i="45"/>
  <c r="P71" i="45"/>
  <c r="P72" i="45"/>
  <c r="P73" i="45"/>
  <c r="P74" i="45"/>
  <c r="P75" i="45"/>
  <c r="P76" i="45"/>
  <c r="P77" i="45"/>
  <c r="P81" i="45"/>
  <c r="P82" i="45"/>
  <c r="P83" i="45"/>
  <c r="P84" i="45"/>
  <c r="P85" i="45"/>
  <c r="P86" i="45"/>
  <c r="P87" i="45"/>
  <c r="P88" i="45"/>
  <c r="P89" i="45"/>
  <c r="P90" i="45"/>
  <c r="P91" i="45"/>
  <c r="P92" i="45"/>
  <c r="P93" i="45"/>
  <c r="P94" i="45"/>
  <c r="P95" i="45"/>
  <c r="P99" i="45"/>
  <c r="P100" i="45"/>
  <c r="P101" i="45"/>
  <c r="P102" i="45"/>
  <c r="P103" i="45"/>
  <c r="P107" i="45"/>
  <c r="P108" i="45"/>
  <c r="P109" i="45"/>
  <c r="P110" i="45"/>
  <c r="P111" i="45"/>
  <c r="P112" i="45"/>
  <c r="P113" i="45"/>
  <c r="P114" i="45"/>
  <c r="P118" i="45"/>
  <c r="P119" i="45"/>
  <c r="P120" i="45"/>
  <c r="P121" i="45"/>
  <c r="P122" i="45"/>
  <c r="P123" i="45"/>
  <c r="P124" i="45"/>
  <c r="P125" i="45"/>
  <c r="P126" i="45"/>
  <c r="P130" i="45"/>
  <c r="P131" i="45"/>
  <c r="P132" i="45"/>
  <c r="P133" i="45"/>
  <c r="P134" i="45"/>
  <c r="P135" i="45"/>
  <c r="P136" i="45"/>
  <c r="P137" i="45"/>
  <c r="P138" i="45"/>
  <c r="P142" i="45"/>
  <c r="P143" i="45"/>
  <c r="P144" i="45"/>
  <c r="P145" i="45"/>
  <c r="P146" i="45"/>
  <c r="P147" i="45"/>
  <c r="P148" i="45"/>
  <c r="P149" i="45"/>
  <c r="P150" i="45"/>
  <c r="P151" i="45"/>
  <c r="P152" i="45"/>
  <c r="P153" i="45"/>
  <c r="P154" i="45"/>
  <c r="P155" i="45"/>
  <c r="P156" i="45"/>
  <c r="P157" i="45"/>
  <c r="P158" i="45"/>
  <c r="P159" i="45"/>
  <c r="P160" i="45"/>
  <c r="P161" i="45"/>
  <c r="P162" i="45"/>
  <c r="P163" i="45"/>
  <c r="P164" i="45"/>
  <c r="P165" i="45"/>
  <c r="P166" i="45"/>
  <c r="P167" i="45"/>
  <c r="P168" i="45"/>
  <c r="P169" i="45"/>
  <c r="P170" i="45"/>
  <c r="P171" i="45"/>
  <c r="P172" i="45"/>
  <c r="P173" i="45"/>
  <c r="P177" i="45"/>
  <c r="P178" i="45"/>
  <c r="P179" i="45"/>
  <c r="P180" i="45"/>
  <c r="P181" i="45"/>
  <c r="P182" i="45"/>
  <c r="P183" i="45"/>
  <c r="P184" i="45"/>
  <c r="P185" i="45"/>
  <c r="P186" i="45"/>
  <c r="P187" i="45"/>
  <c r="P191" i="45"/>
  <c r="P192" i="45"/>
  <c r="P193" i="45"/>
  <c r="P194" i="45"/>
  <c r="P195" i="45"/>
  <c r="P196" i="45"/>
  <c r="P197" i="45"/>
  <c r="P198" i="45"/>
  <c r="P199" i="45"/>
  <c r="P201" i="45"/>
  <c r="P202" i="45"/>
  <c r="P203" i="45"/>
  <c r="P207" i="45"/>
  <c r="P208" i="45"/>
  <c r="P209" i="45"/>
  <c r="P210" i="45"/>
  <c r="P211" i="45"/>
  <c r="P212" i="45"/>
  <c r="P213" i="45"/>
  <c r="P214" i="45"/>
  <c r="P215" i="45"/>
  <c r="P219" i="45"/>
  <c r="P220" i="45"/>
  <c r="P221" i="45"/>
  <c r="P222" i="45"/>
  <c r="P223" i="45"/>
  <c r="P224" i="45"/>
  <c r="P225" i="45"/>
  <c r="P226" i="45"/>
  <c r="P227" i="45"/>
  <c r="P228" i="45"/>
  <c r="P229" i="45"/>
  <c r="P230" i="45"/>
  <c r="P231" i="45"/>
  <c r="P232" i="45"/>
  <c r="P233" i="45"/>
  <c r="P234" i="45"/>
  <c r="P235" i="45"/>
  <c r="P236" i="45"/>
  <c r="P237" i="45"/>
  <c r="P238" i="45"/>
  <c r="P239" i="45"/>
  <c r="P13" i="45"/>
  <c r="P12" i="45"/>
  <c r="O14" i="45"/>
  <c r="O15" i="45"/>
  <c r="O16" i="45"/>
  <c r="O20" i="45"/>
  <c r="O21" i="45"/>
  <c r="O22" i="45"/>
  <c r="O23" i="45"/>
  <c r="O24" i="45"/>
  <c r="O28" i="45"/>
  <c r="O29" i="45"/>
  <c r="O30" i="45"/>
  <c r="O31" i="45"/>
  <c r="O32" i="45"/>
  <c r="O33" i="45"/>
  <c r="O34" i="45"/>
  <c r="O35" i="45"/>
  <c r="O36" i="45"/>
  <c r="O37" i="45"/>
  <c r="O41" i="45"/>
  <c r="O42" i="45"/>
  <c r="O43" i="45"/>
  <c r="O44" i="45"/>
  <c r="O45" i="45"/>
  <c r="O46" i="45"/>
  <c r="O50" i="45"/>
  <c r="O51" i="45"/>
  <c r="O52" i="45"/>
  <c r="O53" i="45"/>
  <c r="O54" i="45"/>
  <c r="O58" i="45"/>
  <c r="O59" i="45"/>
  <c r="O60" i="45"/>
  <c r="O61" i="45"/>
  <c r="O62" i="45"/>
  <c r="O63" i="45"/>
  <c r="O64" i="45"/>
  <c r="O65" i="45"/>
  <c r="O66" i="45"/>
  <c r="O67" i="45"/>
  <c r="O68" i="45"/>
  <c r="O69" i="45"/>
  <c r="O70" i="45"/>
  <c r="O71" i="45"/>
  <c r="O72" i="45"/>
  <c r="O73" i="45"/>
  <c r="O74" i="45"/>
  <c r="O75" i="45"/>
  <c r="O76" i="45"/>
  <c r="O77" i="45"/>
  <c r="O81" i="45"/>
  <c r="O82" i="45"/>
  <c r="O83" i="45"/>
  <c r="O84" i="45"/>
  <c r="O85" i="45"/>
  <c r="O86" i="45"/>
  <c r="O87" i="45"/>
  <c r="O88" i="45"/>
  <c r="O89" i="45"/>
  <c r="O90" i="45"/>
  <c r="O91" i="45"/>
  <c r="O92" i="45"/>
  <c r="O93" i="45"/>
  <c r="O94" i="45"/>
  <c r="O95" i="45"/>
  <c r="O99" i="45"/>
  <c r="O100" i="45"/>
  <c r="O101" i="45"/>
  <c r="O102" i="45"/>
  <c r="O103" i="45"/>
  <c r="O107" i="45"/>
  <c r="O108" i="45"/>
  <c r="O109" i="45"/>
  <c r="O110" i="45"/>
  <c r="O111" i="45"/>
  <c r="O112" i="45"/>
  <c r="O113" i="45"/>
  <c r="O114" i="45"/>
  <c r="O118" i="45"/>
  <c r="O119" i="45"/>
  <c r="O120" i="45"/>
  <c r="O121" i="45"/>
  <c r="O122" i="45"/>
  <c r="O123" i="45"/>
  <c r="O124" i="45"/>
  <c r="O125" i="45"/>
  <c r="O126" i="45"/>
  <c r="O130" i="45"/>
  <c r="O131" i="45"/>
  <c r="O132" i="45"/>
  <c r="O133" i="45"/>
  <c r="O134" i="45"/>
  <c r="O135" i="45"/>
  <c r="O136" i="45"/>
  <c r="O137" i="45"/>
  <c r="O138" i="45"/>
  <c r="O142" i="45"/>
  <c r="O143" i="45"/>
  <c r="O144" i="45"/>
  <c r="O145" i="45"/>
  <c r="O146" i="45"/>
  <c r="O147" i="45"/>
  <c r="O148" i="45"/>
  <c r="O149" i="45"/>
  <c r="O150" i="45"/>
  <c r="O151" i="45"/>
  <c r="O152" i="45"/>
  <c r="O153" i="45"/>
  <c r="O154" i="45"/>
  <c r="O155" i="45"/>
  <c r="O156" i="45"/>
  <c r="O157" i="45"/>
  <c r="O158" i="45"/>
  <c r="O159" i="45"/>
  <c r="O160" i="45"/>
  <c r="O161" i="45"/>
  <c r="O162" i="45"/>
  <c r="O163" i="45"/>
  <c r="O164" i="45"/>
  <c r="O165" i="45"/>
  <c r="O166" i="45"/>
  <c r="O167" i="45"/>
  <c r="O168" i="45"/>
  <c r="O169" i="45"/>
  <c r="O170" i="45"/>
  <c r="O171" i="45"/>
  <c r="O172" i="45"/>
  <c r="O173" i="45"/>
  <c r="O177" i="45"/>
  <c r="O178" i="45"/>
  <c r="O179" i="45"/>
  <c r="O180" i="45"/>
  <c r="O181" i="45"/>
  <c r="O182" i="45"/>
  <c r="O183" i="45"/>
  <c r="O184" i="45"/>
  <c r="O185" i="45"/>
  <c r="O186" i="45"/>
  <c r="O187" i="45"/>
  <c r="O191" i="45"/>
  <c r="O192" i="45"/>
  <c r="O193" i="45"/>
  <c r="O194" i="45"/>
  <c r="O195" i="45"/>
  <c r="O196" i="45"/>
  <c r="O197" i="45"/>
  <c r="O198" i="45"/>
  <c r="O199" i="45"/>
  <c r="O201" i="45"/>
  <c r="O202" i="45"/>
  <c r="O203" i="45"/>
  <c r="O207" i="45"/>
  <c r="O208" i="45"/>
  <c r="O209" i="45"/>
  <c r="O210" i="45"/>
  <c r="O211" i="45"/>
  <c r="O212" i="45"/>
  <c r="O213" i="45"/>
  <c r="O214" i="45"/>
  <c r="O215" i="45"/>
  <c r="O219" i="45"/>
  <c r="O220" i="45"/>
  <c r="O222" i="45"/>
  <c r="O223" i="45"/>
  <c r="O224" i="45"/>
  <c r="O225" i="45"/>
  <c r="O226" i="45"/>
  <c r="O227" i="45"/>
  <c r="O228" i="45"/>
  <c r="O229" i="45"/>
  <c r="O230" i="45"/>
  <c r="O231" i="45"/>
  <c r="O232" i="45"/>
  <c r="O233" i="45"/>
  <c r="O234" i="45"/>
  <c r="O235" i="45"/>
  <c r="O236" i="45"/>
  <c r="O237" i="45"/>
  <c r="O238" i="45"/>
  <c r="O239" i="45"/>
  <c r="O13" i="45"/>
  <c r="O12" i="45"/>
  <c r="N31" i="45"/>
  <c r="N32" i="45"/>
  <c r="N33" i="45"/>
  <c r="N36" i="45"/>
  <c r="N37" i="45"/>
  <c r="N41" i="45"/>
  <c r="N42" i="45"/>
  <c r="N43" i="45"/>
  <c r="N44" i="45"/>
  <c r="N45" i="45"/>
  <c r="N46" i="45"/>
  <c r="N50" i="45"/>
  <c r="N51" i="45"/>
  <c r="N52" i="45"/>
  <c r="N53" i="45"/>
  <c r="N54" i="45"/>
  <c r="N64" i="45"/>
  <c r="N65" i="45"/>
  <c r="N66" i="45"/>
  <c r="N67" i="45"/>
  <c r="N68" i="45"/>
  <c r="N69" i="45"/>
  <c r="N70" i="45"/>
  <c r="N71" i="45"/>
  <c r="N72" i="45"/>
  <c r="N73" i="45"/>
  <c r="N74" i="45"/>
  <c r="N75" i="45"/>
  <c r="N76" i="45"/>
  <c r="N77" i="45"/>
  <c r="N90" i="45"/>
  <c r="N91" i="45"/>
  <c r="N92" i="45"/>
  <c r="N93" i="45"/>
  <c r="N94" i="45"/>
  <c r="N95" i="45"/>
  <c r="N99" i="45"/>
  <c r="N100" i="45"/>
  <c r="N101" i="45"/>
  <c r="N102" i="45"/>
  <c r="N103" i="45"/>
  <c r="N110" i="45"/>
  <c r="N111" i="45"/>
  <c r="N112" i="45"/>
  <c r="N113" i="45"/>
  <c r="N114" i="45"/>
  <c r="N119" i="45"/>
  <c r="N120" i="45"/>
  <c r="N121" i="45"/>
  <c r="N122" i="45"/>
  <c r="N123" i="45"/>
  <c r="N124" i="45"/>
  <c r="N125" i="45"/>
  <c r="N126" i="45"/>
  <c r="N135" i="45"/>
  <c r="N136" i="45"/>
  <c r="N137" i="45"/>
  <c r="N138" i="45"/>
  <c r="N142" i="45"/>
  <c r="N143" i="45"/>
  <c r="N144" i="45"/>
  <c r="N145" i="45"/>
  <c r="N146" i="45"/>
  <c r="N147" i="45"/>
  <c r="N148" i="45"/>
  <c r="N149" i="45"/>
  <c r="N150" i="45"/>
  <c r="N151" i="45"/>
  <c r="N152" i="45"/>
  <c r="N153" i="45"/>
  <c r="N154" i="45"/>
  <c r="N155" i="45"/>
  <c r="N156" i="45"/>
  <c r="N157" i="45"/>
  <c r="N158" i="45"/>
  <c r="N159" i="45"/>
  <c r="N160" i="45"/>
  <c r="N161" i="45"/>
  <c r="N162" i="45"/>
  <c r="N163" i="45"/>
  <c r="N164" i="45"/>
  <c r="N165" i="45"/>
  <c r="N166" i="45"/>
  <c r="N167" i="45"/>
  <c r="N168" i="45"/>
  <c r="N169" i="45"/>
  <c r="N170" i="45"/>
  <c r="N171" i="45"/>
  <c r="N172" i="45"/>
  <c r="N173" i="45"/>
  <c r="N177" i="45"/>
  <c r="N178" i="45"/>
  <c r="N179" i="45"/>
  <c r="N180" i="45"/>
  <c r="N181" i="45"/>
  <c r="N182" i="45"/>
  <c r="N183" i="45"/>
  <c r="N184" i="45"/>
  <c r="N185" i="45"/>
  <c r="N186" i="45"/>
  <c r="N187" i="45"/>
  <c r="N193" i="45"/>
  <c r="N194" i="45"/>
  <c r="N195" i="45"/>
  <c r="N196" i="45"/>
  <c r="N201" i="45"/>
  <c r="N202" i="45"/>
  <c r="N203" i="45"/>
  <c r="N209" i="45"/>
  <c r="N210" i="45"/>
  <c r="N211" i="45"/>
  <c r="N212" i="45"/>
  <c r="N213" i="45"/>
  <c r="N214" i="45"/>
  <c r="N215" i="45"/>
  <c r="N219" i="45"/>
  <c r="N220" i="45"/>
  <c r="N221" i="45"/>
  <c r="N226" i="45"/>
  <c r="N233" i="45"/>
  <c r="N234" i="45"/>
  <c r="N235" i="45"/>
  <c r="N236" i="45"/>
  <c r="N237" i="45"/>
  <c r="N238" i="45"/>
  <c r="N239" i="45"/>
  <c r="N14" i="45"/>
  <c r="N15" i="45"/>
  <c r="N16" i="45"/>
  <c r="N20" i="45"/>
  <c r="N21" i="45"/>
  <c r="N22" i="45"/>
  <c r="N23" i="45"/>
  <c r="N24" i="45"/>
  <c r="N29" i="45"/>
  <c r="N13" i="45"/>
  <c r="N12" i="45"/>
  <c r="M28" i="45"/>
  <c r="M30" i="45"/>
  <c r="M34" i="45"/>
  <c r="M35" i="45"/>
  <c r="M36" i="45"/>
  <c r="M37" i="45"/>
  <c r="M41" i="45"/>
  <c r="M42" i="45"/>
  <c r="M43" i="45"/>
  <c r="M44" i="45"/>
  <c r="M45" i="45"/>
  <c r="M46" i="45"/>
  <c r="M50" i="45"/>
  <c r="M51" i="45"/>
  <c r="M52" i="45"/>
  <c r="M53" i="45"/>
  <c r="M54" i="45"/>
  <c r="M58" i="45"/>
  <c r="M59" i="45"/>
  <c r="M60" i="45"/>
  <c r="M61" i="45"/>
  <c r="M62" i="45"/>
  <c r="M63" i="45"/>
  <c r="M64" i="45"/>
  <c r="M65" i="45"/>
  <c r="M66" i="45"/>
  <c r="M67" i="45"/>
  <c r="M68" i="45"/>
  <c r="M69" i="45"/>
  <c r="M70" i="45"/>
  <c r="M71" i="45"/>
  <c r="M72" i="45"/>
  <c r="M73" i="45"/>
  <c r="M74" i="45"/>
  <c r="M75" i="45"/>
  <c r="M76" i="45"/>
  <c r="M77" i="45"/>
  <c r="M81" i="45"/>
  <c r="M82" i="45"/>
  <c r="M83" i="45"/>
  <c r="M84" i="45"/>
  <c r="M85" i="45"/>
  <c r="M86" i="45"/>
  <c r="M87" i="45"/>
  <c r="M88" i="45"/>
  <c r="M89" i="45"/>
  <c r="M90" i="45"/>
  <c r="M91" i="45"/>
  <c r="M92" i="45"/>
  <c r="M93" i="45"/>
  <c r="M94" i="45"/>
  <c r="M95" i="45"/>
  <c r="M99" i="45"/>
  <c r="M100" i="45"/>
  <c r="M101" i="45"/>
  <c r="M102" i="45"/>
  <c r="M103" i="45"/>
  <c r="M107" i="45"/>
  <c r="M108" i="45"/>
  <c r="M109" i="45"/>
  <c r="M110" i="45"/>
  <c r="M111" i="45"/>
  <c r="M112" i="45"/>
  <c r="M113" i="45"/>
  <c r="M114" i="45"/>
  <c r="M118" i="45"/>
  <c r="M119" i="45"/>
  <c r="M120" i="45"/>
  <c r="M121" i="45"/>
  <c r="M122" i="45"/>
  <c r="M123" i="45"/>
  <c r="M124" i="45"/>
  <c r="M125" i="45"/>
  <c r="M126" i="45"/>
  <c r="M130" i="45"/>
  <c r="M131" i="45"/>
  <c r="M136" i="45"/>
  <c r="M137" i="45"/>
  <c r="M138" i="45"/>
  <c r="M142" i="45"/>
  <c r="M143" i="45"/>
  <c r="M144" i="45"/>
  <c r="M145" i="45"/>
  <c r="M146" i="45"/>
  <c r="M147" i="45"/>
  <c r="M148" i="45"/>
  <c r="M149" i="45"/>
  <c r="M150" i="45"/>
  <c r="M151" i="45"/>
  <c r="M152" i="45"/>
  <c r="M153" i="45"/>
  <c r="M154" i="45"/>
  <c r="M155" i="45"/>
  <c r="M156" i="45"/>
  <c r="M157" i="45"/>
  <c r="M158" i="45"/>
  <c r="M159" i="45"/>
  <c r="M160" i="45"/>
  <c r="M161" i="45"/>
  <c r="M162" i="45"/>
  <c r="M163" i="45"/>
  <c r="M164" i="45"/>
  <c r="M165" i="45"/>
  <c r="M166" i="45"/>
  <c r="M167" i="45"/>
  <c r="M168" i="45"/>
  <c r="M169" i="45"/>
  <c r="M170" i="45"/>
  <c r="M171" i="45"/>
  <c r="M172" i="45"/>
  <c r="M173" i="45"/>
  <c r="M177" i="45"/>
  <c r="M178" i="45"/>
  <c r="M179" i="45"/>
  <c r="M180" i="45"/>
  <c r="M181" i="45"/>
  <c r="M182" i="45"/>
  <c r="M183" i="45"/>
  <c r="M184" i="45"/>
  <c r="M185" i="45"/>
  <c r="M186" i="45"/>
  <c r="M187" i="45"/>
  <c r="M191" i="45"/>
  <c r="M192" i="45"/>
  <c r="M193" i="45"/>
  <c r="M194" i="45"/>
  <c r="M195" i="45"/>
  <c r="M196" i="45"/>
  <c r="M197" i="45"/>
  <c r="M198" i="45"/>
  <c r="M199" i="45"/>
  <c r="M201" i="45"/>
  <c r="M202" i="45"/>
  <c r="M203" i="45"/>
  <c r="M207" i="45"/>
  <c r="M208" i="45"/>
  <c r="M209" i="45"/>
  <c r="M210" i="45"/>
  <c r="M211" i="45"/>
  <c r="M212" i="45"/>
  <c r="M213" i="45"/>
  <c r="M214" i="45"/>
  <c r="M215" i="45"/>
  <c r="M220" i="45"/>
  <c r="M221" i="45"/>
  <c r="M222" i="45"/>
  <c r="M223" i="45"/>
  <c r="M224" i="45"/>
  <c r="M225" i="45"/>
  <c r="M227" i="45"/>
  <c r="M228" i="45"/>
  <c r="M229" i="45"/>
  <c r="M230" i="45"/>
  <c r="M231" i="45"/>
  <c r="M232" i="45"/>
  <c r="M233" i="45"/>
  <c r="M234" i="45"/>
  <c r="M235" i="45"/>
  <c r="M236" i="45"/>
  <c r="M237" i="45"/>
  <c r="M238" i="45"/>
  <c r="M239" i="45"/>
  <c r="M12" i="45"/>
  <c r="M13" i="45" s="1"/>
  <c r="M14" i="45" s="1"/>
  <c r="M15" i="45" s="1"/>
  <c r="I201" i="45"/>
  <c r="I202" i="45"/>
  <c r="I203" i="45"/>
  <c r="I142" i="45"/>
  <c r="I64" i="45"/>
  <c r="I26" i="45"/>
  <c r="I27" i="45"/>
  <c r="I39" i="45"/>
  <c r="I40" i="45"/>
  <c r="I48" i="45"/>
  <c r="I49" i="45"/>
  <c r="I56" i="45"/>
  <c r="I57" i="45"/>
  <c r="I79" i="45"/>
  <c r="I80" i="45"/>
  <c r="I97" i="45"/>
  <c r="I98" i="45"/>
  <c r="I105" i="45"/>
  <c r="I106" i="45"/>
  <c r="I116" i="45"/>
  <c r="I117" i="45"/>
  <c r="I128" i="45"/>
  <c r="I129" i="45"/>
  <c r="I140" i="45"/>
  <c r="I141" i="45"/>
  <c r="I175" i="45"/>
  <c r="I176" i="45"/>
  <c r="I189" i="45"/>
  <c r="I190" i="45"/>
  <c r="I205" i="45"/>
  <c r="I206" i="45"/>
  <c r="I217" i="45"/>
  <c r="I218" i="45"/>
  <c r="N243" i="44"/>
  <c r="L243" i="44"/>
  <c r="G243" i="44"/>
  <c r="E243" i="44"/>
  <c r="N212" i="44"/>
  <c r="G212" i="44"/>
  <c r="E212" i="44"/>
  <c r="N211" i="44"/>
  <c r="G211" i="44"/>
  <c r="E211" i="44"/>
  <c r="N35" i="44"/>
  <c r="G35" i="44"/>
  <c r="E35" i="44"/>
  <c r="N34" i="44"/>
  <c r="E34" i="44"/>
  <c r="W12" i="44"/>
  <c r="G62" i="45"/>
  <c r="E62" i="45"/>
  <c r="G61" i="45"/>
  <c r="E61" i="45"/>
  <c r="G60" i="45"/>
  <c r="E60" i="45"/>
  <c r="G59" i="45"/>
  <c r="E59" i="45"/>
  <c r="G58" i="45"/>
  <c r="E58" i="45"/>
  <c r="E95" i="44"/>
  <c r="E96" i="44"/>
  <c r="E97" i="44"/>
  <c r="G97" i="44"/>
  <c r="V65" i="44"/>
  <c r="U65" i="44"/>
  <c r="T65" i="44"/>
  <c r="W41" i="44"/>
  <c r="V41" i="44"/>
  <c r="U41" i="44"/>
  <c r="T41" i="44"/>
  <c r="S41" i="44"/>
  <c r="N260" i="44"/>
  <c r="G260" i="44"/>
  <c r="E260" i="44"/>
  <c r="N259" i="44"/>
  <c r="G259" i="44"/>
  <c r="E259" i="44"/>
  <c r="N258" i="44"/>
  <c r="G258" i="44"/>
  <c r="E258" i="44"/>
  <c r="N257" i="44"/>
  <c r="G257" i="44"/>
  <c r="E257" i="44"/>
  <c r="N256" i="44"/>
  <c r="G256" i="44"/>
  <c r="E256" i="44"/>
  <c r="N255" i="44"/>
  <c r="G255" i="44"/>
  <c r="E255" i="44"/>
  <c r="N254" i="44"/>
  <c r="G254" i="44"/>
  <c r="E254" i="44"/>
  <c r="N253" i="44"/>
  <c r="G253" i="44"/>
  <c r="E253" i="44"/>
  <c r="N252" i="44"/>
  <c r="G252" i="44"/>
  <c r="E252" i="44"/>
  <c r="N251" i="44"/>
  <c r="G251" i="44"/>
  <c r="E251" i="44"/>
  <c r="N250" i="44"/>
  <c r="G250" i="44"/>
  <c r="E250" i="44"/>
  <c r="N249" i="44"/>
  <c r="G249" i="44"/>
  <c r="E249" i="44"/>
  <c r="N248" i="44"/>
  <c r="G248" i="44"/>
  <c r="E248" i="44"/>
  <c r="N247" i="44"/>
  <c r="G247" i="44"/>
  <c r="E247" i="44"/>
  <c r="N246" i="44"/>
  <c r="G246" i="44"/>
  <c r="E246" i="44"/>
  <c r="N245" i="44"/>
  <c r="G245" i="44"/>
  <c r="E245" i="44"/>
  <c r="AC36" i="45"/>
  <c r="AB36" i="45"/>
  <c r="AA36" i="45"/>
  <c r="Z36" i="45"/>
  <c r="Y36" i="45"/>
  <c r="Z58" i="45"/>
  <c r="Z50" i="45"/>
  <c r="AA32" i="45"/>
  <c r="AU5" i="45"/>
  <c r="AR13" i="45"/>
  <c r="AJ5" i="44"/>
  <c r="AJ13" i="44" s="1"/>
  <c r="N105" i="44"/>
  <c r="N106" i="44"/>
  <c r="N107" i="44"/>
  <c r="N87" i="44"/>
  <c r="N88" i="44"/>
  <c r="N89" i="44"/>
  <c r="N90" i="44"/>
  <c r="N91" i="44"/>
  <c r="N92" i="44"/>
  <c r="N93" i="44"/>
  <c r="N94" i="44"/>
  <c r="N95" i="44"/>
  <c r="N96" i="44"/>
  <c r="N97" i="44"/>
  <c r="N98" i="44"/>
  <c r="N99" i="44"/>
  <c r="N60" i="44"/>
  <c r="N61" i="44"/>
  <c r="N62" i="44"/>
  <c r="N63" i="44"/>
  <c r="N64" i="44"/>
  <c r="N65" i="44"/>
  <c r="N66" i="44"/>
  <c r="N67" i="44"/>
  <c r="N68" i="44"/>
  <c r="N69" i="44"/>
  <c r="N70" i="44"/>
  <c r="N71" i="44"/>
  <c r="N72" i="44"/>
  <c r="N73" i="44"/>
  <c r="N74" i="44"/>
  <c r="N75" i="44"/>
  <c r="N76" i="44"/>
  <c r="N77" i="44"/>
  <c r="N78" i="44"/>
  <c r="N79" i="44"/>
  <c r="N80" i="44"/>
  <c r="N81" i="44"/>
  <c r="N59" i="44"/>
  <c r="N52" i="44"/>
  <c r="N201" i="44"/>
  <c r="N202" i="44"/>
  <c r="N203" i="44"/>
  <c r="N204" i="44"/>
  <c r="N205" i="44"/>
  <c r="N206" i="44"/>
  <c r="N207" i="44"/>
  <c r="N139" i="44"/>
  <c r="N140" i="44"/>
  <c r="N141" i="44"/>
  <c r="N142" i="44"/>
  <c r="T60" i="44"/>
  <c r="T51" i="44"/>
  <c r="S33" i="44"/>
  <c r="S32" i="44"/>
  <c r="S31" i="44"/>
  <c r="AB64" i="45"/>
  <c r="AB63" i="45"/>
  <c r="AB62" i="45"/>
  <c r="AB61" i="45"/>
  <c r="AB60" i="45"/>
  <c r="AB59" i="45"/>
  <c r="AB58" i="45"/>
  <c r="AB57" i="45"/>
  <c r="AB56" i="45"/>
  <c r="AB55" i="45"/>
  <c r="AB54" i="45"/>
  <c r="AB53" i="45"/>
  <c r="AB52" i="45"/>
  <c r="AB51" i="45"/>
  <c r="AB50" i="45"/>
  <c r="AA65" i="45"/>
  <c r="AA64" i="45"/>
  <c r="AA63" i="45"/>
  <c r="AA62" i="45"/>
  <c r="AA61" i="45"/>
  <c r="AA60" i="45"/>
  <c r="AA59" i="45"/>
  <c r="AA58" i="45"/>
  <c r="AA57" i="45"/>
  <c r="AA56" i="45"/>
  <c r="AA55" i="45"/>
  <c r="AA54" i="45"/>
  <c r="AA53" i="45"/>
  <c r="AA52" i="45"/>
  <c r="AA51" i="45"/>
  <c r="AA50" i="45"/>
  <c r="Z65" i="45"/>
  <c r="Z64" i="45"/>
  <c r="Y64" i="45" s="1"/>
  <c r="AA85" i="45" s="1"/>
  <c r="Z63" i="45"/>
  <c r="Z62" i="45"/>
  <c r="Z61" i="45"/>
  <c r="Z60" i="45"/>
  <c r="Z59" i="45"/>
  <c r="Z57" i="45"/>
  <c r="Z56" i="45"/>
  <c r="Z55" i="45"/>
  <c r="Z54" i="45"/>
  <c r="Z53" i="45"/>
  <c r="Z52" i="45"/>
  <c r="Z51" i="45"/>
  <c r="AC41" i="45"/>
  <c r="AC40" i="45"/>
  <c r="AC39" i="45"/>
  <c r="AC38" i="45"/>
  <c r="AC37" i="45"/>
  <c r="AC35" i="45"/>
  <c r="AC34" i="45"/>
  <c r="AC33" i="45"/>
  <c r="AC32" i="45"/>
  <c r="AC31" i="45"/>
  <c r="AC30" i="45"/>
  <c r="AC29" i="45"/>
  <c r="AC28" i="45"/>
  <c r="AC27" i="45"/>
  <c r="AC26" i="45"/>
  <c r="AB41" i="45"/>
  <c r="AB40" i="45"/>
  <c r="AB39" i="45"/>
  <c r="AB38" i="45"/>
  <c r="AB37" i="45"/>
  <c r="AB35" i="45"/>
  <c r="AB34" i="45"/>
  <c r="AB33" i="45"/>
  <c r="AB32" i="45"/>
  <c r="AB31" i="45"/>
  <c r="AB30" i="45"/>
  <c r="AB29" i="45"/>
  <c r="AB28" i="45"/>
  <c r="AB27" i="45"/>
  <c r="AB26" i="45"/>
  <c r="AA41" i="45"/>
  <c r="AA40" i="45"/>
  <c r="AA39" i="45"/>
  <c r="AA38" i="45"/>
  <c r="AA37" i="45"/>
  <c r="AA35" i="45"/>
  <c r="AA34" i="45"/>
  <c r="AA33" i="45"/>
  <c r="AA31" i="45"/>
  <c r="AA30" i="45"/>
  <c r="AA29" i="45"/>
  <c r="AA28" i="45"/>
  <c r="AA27" i="45"/>
  <c r="AA26" i="45"/>
  <c r="Z40" i="45"/>
  <c r="Z39" i="45"/>
  <c r="Z38" i="45"/>
  <c r="Z37" i="45"/>
  <c r="Z35" i="45"/>
  <c r="Z34" i="45"/>
  <c r="Z33" i="45"/>
  <c r="Z32" i="45"/>
  <c r="Z31" i="45"/>
  <c r="Z30" i="45"/>
  <c r="Z29" i="45"/>
  <c r="Z28" i="45"/>
  <c r="Z27" i="45"/>
  <c r="Z26" i="45"/>
  <c r="Y41" i="45"/>
  <c r="Y40" i="45"/>
  <c r="Y39" i="45"/>
  <c r="Y38" i="45"/>
  <c r="Y37" i="45"/>
  <c r="Y35" i="45"/>
  <c r="Y34" i="45"/>
  <c r="Y33" i="45"/>
  <c r="Y32" i="45"/>
  <c r="Y30" i="45"/>
  <c r="Y26" i="45"/>
  <c r="Y31" i="45"/>
  <c r="Y29" i="45"/>
  <c r="Y28" i="45"/>
  <c r="Y27" i="45"/>
  <c r="X17" i="45"/>
  <c r="AC16" i="45"/>
  <c r="Y16" i="45"/>
  <c r="AC15" i="45"/>
  <c r="Y15" i="45"/>
  <c r="AC14" i="45"/>
  <c r="Y14" i="45"/>
  <c r="AC13" i="45"/>
  <c r="Y11" i="45"/>
  <c r="Y10" i="45"/>
  <c r="Y9" i="45"/>
  <c r="Y8" i="45"/>
  <c r="Y7" i="45"/>
  <c r="S12" i="44"/>
  <c r="G129" i="39"/>
  <c r="J129" i="39"/>
  <c r="K129" i="39" s="1"/>
  <c r="M129" i="39"/>
  <c r="N129" i="39"/>
  <c r="Q129" i="39"/>
  <c r="G130" i="39"/>
  <c r="J130" i="39"/>
  <c r="K130" i="39" s="1"/>
  <c r="M130" i="39"/>
  <c r="N130" i="39"/>
  <c r="Q130" i="39"/>
  <c r="G131" i="39"/>
  <c r="J131" i="39"/>
  <c r="K131" i="39" s="1"/>
  <c r="M131" i="39"/>
  <c r="N131" i="39"/>
  <c r="Q131" i="39"/>
  <c r="G132" i="39"/>
  <c r="J132" i="39"/>
  <c r="K132" i="39"/>
  <c r="M132" i="39"/>
  <c r="N132" i="39"/>
  <c r="Q132" i="39"/>
  <c r="G133" i="39"/>
  <c r="J133" i="39"/>
  <c r="K133" i="39" s="1"/>
  <c r="M133" i="39"/>
  <c r="N133" i="39"/>
  <c r="Q133" i="39"/>
  <c r="Z81" i="44"/>
  <c r="Z82" i="44"/>
  <c r="Z83" i="44"/>
  <c r="Z84" i="44"/>
  <c r="Z85" i="44"/>
  <c r="Z86" i="44"/>
  <c r="Z87" i="44"/>
  <c r="Z88" i="44"/>
  <c r="Z89" i="44"/>
  <c r="Z90" i="44"/>
  <c r="Z91" i="44"/>
  <c r="Z92" i="44"/>
  <c r="Z93" i="44"/>
  <c r="Z94" i="44"/>
  <c r="Z95" i="44"/>
  <c r="Z96" i="44"/>
  <c r="Z97" i="44"/>
  <c r="Z98" i="44"/>
  <c r="Z99" i="44"/>
  <c r="Z100" i="44"/>
  <c r="Z101" i="44"/>
  <c r="Z102" i="44"/>
  <c r="Z103" i="44"/>
  <c r="Z104" i="44"/>
  <c r="Z105" i="44"/>
  <c r="S34" i="44"/>
  <c r="S30" i="44"/>
  <c r="S29" i="44"/>
  <c r="S28" i="44"/>
  <c r="S27" i="44"/>
  <c r="S26" i="44"/>
  <c r="W13" i="44"/>
  <c r="W14" i="44"/>
  <c r="W15" i="44"/>
  <c r="W16" i="44"/>
  <c r="S7" i="44"/>
  <c r="S9" i="44"/>
  <c r="S10" i="44"/>
  <c r="S11" i="44"/>
  <c r="S14" i="44"/>
  <c r="S15" i="44"/>
  <c r="S16" i="44"/>
  <c r="Z157" i="44"/>
  <c r="AB157" i="44" s="1"/>
  <c r="Z158" i="44"/>
  <c r="AB158" i="44" s="1"/>
  <c r="Z159" i="44"/>
  <c r="AB159" i="44" s="1"/>
  <c r="Z160" i="44"/>
  <c r="Z161" i="44"/>
  <c r="I83" i="44"/>
  <c r="I84" i="44"/>
  <c r="I101" i="44"/>
  <c r="I102" i="44"/>
  <c r="I109" i="44"/>
  <c r="I110" i="44"/>
  <c r="I120" i="44"/>
  <c r="I121" i="44"/>
  <c r="I132" i="44"/>
  <c r="I133" i="44"/>
  <c r="I144" i="44"/>
  <c r="I145" i="44"/>
  <c r="I179" i="44"/>
  <c r="I180" i="44"/>
  <c r="I193" i="44"/>
  <c r="I194" i="44"/>
  <c r="I209" i="44"/>
  <c r="I210" i="44"/>
  <c r="I221" i="44"/>
  <c r="I222" i="44"/>
  <c r="I26" i="44"/>
  <c r="I27" i="44"/>
  <c r="I39" i="44"/>
  <c r="I40" i="44"/>
  <c r="I48" i="44"/>
  <c r="I49" i="44"/>
  <c r="L226" i="45"/>
  <c r="G226" i="45"/>
  <c r="E226" i="45"/>
  <c r="S100" i="45"/>
  <c r="S101" i="45"/>
  <c r="S102" i="45"/>
  <c r="S103" i="45"/>
  <c r="S99" i="45"/>
  <c r="S132" i="45"/>
  <c r="S133" i="45"/>
  <c r="S134" i="45"/>
  <c r="S135" i="45"/>
  <c r="S136" i="45"/>
  <c r="S137" i="45"/>
  <c r="S138" i="45"/>
  <c r="S197" i="45"/>
  <c r="S198" i="45"/>
  <c r="S199" i="45"/>
  <c r="S201" i="45"/>
  <c r="S202" i="45"/>
  <c r="S203" i="45"/>
  <c r="G36" i="45"/>
  <c r="G37" i="45"/>
  <c r="S52" i="45"/>
  <c r="S53" i="45"/>
  <c r="S54" i="45"/>
  <c r="S58" i="45"/>
  <c r="S59" i="45"/>
  <c r="S60" i="45"/>
  <c r="S61" i="45"/>
  <c r="S62" i="45"/>
  <c r="S63" i="45"/>
  <c r="S64" i="45"/>
  <c r="S65" i="45"/>
  <c r="S66" i="45"/>
  <c r="S67" i="45"/>
  <c r="S68" i="45"/>
  <c r="S69" i="45"/>
  <c r="S70" i="45"/>
  <c r="S71" i="45"/>
  <c r="S72" i="45"/>
  <c r="S73" i="45"/>
  <c r="S74" i="45"/>
  <c r="S75" i="45"/>
  <c r="S76" i="45"/>
  <c r="S77" i="45"/>
  <c r="S226" i="45"/>
  <c r="E227" i="45"/>
  <c r="G227" i="45"/>
  <c r="S227" i="45"/>
  <c r="E228" i="45"/>
  <c r="G228" i="45"/>
  <c r="S228" i="45"/>
  <c r="S229" i="45"/>
  <c r="E230" i="45"/>
  <c r="G230" i="45"/>
  <c r="S230" i="45"/>
  <c r="E231" i="45"/>
  <c r="G231" i="45"/>
  <c r="S231" i="45"/>
  <c r="E232" i="45"/>
  <c r="G232" i="45"/>
  <c r="S232" i="45"/>
  <c r="E233" i="45"/>
  <c r="G233" i="45"/>
  <c r="S233" i="45"/>
  <c r="E234" i="45"/>
  <c r="G234" i="45"/>
  <c r="S234" i="45"/>
  <c r="G225" i="45"/>
  <c r="E225" i="45"/>
  <c r="G224" i="45"/>
  <c r="E224" i="45"/>
  <c r="G223" i="45"/>
  <c r="E223" i="45"/>
  <c r="G222" i="45"/>
  <c r="E222" i="45"/>
  <c r="E209" i="45"/>
  <c r="G209" i="45"/>
  <c r="S209" i="45"/>
  <c r="E210" i="45"/>
  <c r="G210" i="45"/>
  <c r="S210" i="45"/>
  <c r="E211" i="45"/>
  <c r="G211" i="45"/>
  <c r="S211" i="45"/>
  <c r="S196" i="45"/>
  <c r="G196" i="45"/>
  <c r="E196" i="45"/>
  <c r="S195" i="45"/>
  <c r="G195" i="45"/>
  <c r="E195" i="45"/>
  <c r="S194" i="45"/>
  <c r="G194" i="45"/>
  <c r="E194" i="45"/>
  <c r="S193" i="45"/>
  <c r="G193" i="45"/>
  <c r="E193" i="45"/>
  <c r="S192" i="45"/>
  <c r="G192" i="45"/>
  <c r="E192" i="45"/>
  <c r="S191" i="45"/>
  <c r="G191" i="45"/>
  <c r="E191" i="45"/>
  <c r="E177" i="45"/>
  <c r="G177" i="45"/>
  <c r="S177" i="45"/>
  <c r="E178" i="45"/>
  <c r="G178" i="45"/>
  <c r="S178" i="45"/>
  <c r="E179" i="45"/>
  <c r="G179" i="45"/>
  <c r="S179" i="45"/>
  <c r="E180" i="45"/>
  <c r="G180" i="45"/>
  <c r="S180" i="45"/>
  <c r="E181" i="45"/>
  <c r="G181" i="45"/>
  <c r="S181" i="45"/>
  <c r="E182" i="45"/>
  <c r="G182" i="45"/>
  <c r="S182" i="45"/>
  <c r="S142" i="45"/>
  <c r="E143" i="45"/>
  <c r="G143" i="45"/>
  <c r="S143" i="45"/>
  <c r="E144" i="45"/>
  <c r="G144" i="45"/>
  <c r="S144" i="45"/>
  <c r="E145" i="45"/>
  <c r="G145" i="45"/>
  <c r="S145" i="45"/>
  <c r="E146" i="45"/>
  <c r="G146" i="45"/>
  <c r="S146" i="45"/>
  <c r="E147" i="45"/>
  <c r="G147" i="45"/>
  <c r="S147" i="45"/>
  <c r="E148" i="45"/>
  <c r="G148" i="45"/>
  <c r="S148" i="45"/>
  <c r="E149" i="45"/>
  <c r="G149" i="45"/>
  <c r="S149" i="45"/>
  <c r="G131" i="45"/>
  <c r="E131" i="45"/>
  <c r="G130" i="45"/>
  <c r="E130" i="45"/>
  <c r="E118" i="45"/>
  <c r="G118" i="45"/>
  <c r="S118" i="45"/>
  <c r="E119" i="45"/>
  <c r="G119" i="45"/>
  <c r="S119" i="45"/>
  <c r="E120" i="45"/>
  <c r="G120" i="45"/>
  <c r="S120" i="45"/>
  <c r="E121" i="45"/>
  <c r="G121" i="45"/>
  <c r="S121" i="45"/>
  <c r="E99" i="45"/>
  <c r="G99" i="45"/>
  <c r="E100" i="45"/>
  <c r="G100" i="45"/>
  <c r="E81" i="45"/>
  <c r="G81" i="45"/>
  <c r="S81" i="45"/>
  <c r="E82" i="45"/>
  <c r="G82" i="45"/>
  <c r="S82" i="45"/>
  <c r="E83" i="45"/>
  <c r="G83" i="45"/>
  <c r="S83" i="45"/>
  <c r="E84" i="45"/>
  <c r="S84" i="45"/>
  <c r="E85" i="45"/>
  <c r="G85" i="45"/>
  <c r="S85" i="45"/>
  <c r="E86" i="45"/>
  <c r="S86" i="45"/>
  <c r="E87" i="45"/>
  <c r="S87" i="45"/>
  <c r="E88" i="45"/>
  <c r="S88" i="45"/>
  <c r="E89" i="45"/>
  <c r="G89" i="45"/>
  <c r="S89" i="45"/>
  <c r="E90" i="45"/>
  <c r="G90" i="45"/>
  <c r="S90" i="45"/>
  <c r="E91" i="45"/>
  <c r="G91" i="45"/>
  <c r="S91" i="45"/>
  <c r="E92" i="45"/>
  <c r="G92" i="45"/>
  <c r="S92" i="45"/>
  <c r="G65" i="45"/>
  <c r="G66" i="45"/>
  <c r="E67" i="45"/>
  <c r="G67" i="45"/>
  <c r="E68" i="45"/>
  <c r="G68" i="45"/>
  <c r="E69" i="45"/>
  <c r="G69" i="45"/>
  <c r="E70" i="45"/>
  <c r="G70" i="45"/>
  <c r="E71" i="45"/>
  <c r="G71" i="45"/>
  <c r="E72" i="45"/>
  <c r="G72" i="45"/>
  <c r="S239" i="45"/>
  <c r="G239" i="45"/>
  <c r="E239" i="45"/>
  <c r="S238" i="45"/>
  <c r="G238" i="45"/>
  <c r="E238" i="45"/>
  <c r="S237" i="45"/>
  <c r="G237" i="45"/>
  <c r="E237" i="45"/>
  <c r="S236" i="45"/>
  <c r="G236" i="45"/>
  <c r="E236" i="45"/>
  <c r="S235" i="45"/>
  <c r="G235" i="45"/>
  <c r="E235" i="45"/>
  <c r="S225" i="45"/>
  <c r="S224" i="45"/>
  <c r="S223" i="45"/>
  <c r="S222" i="45"/>
  <c r="S221" i="45"/>
  <c r="AB9" i="45" s="1"/>
  <c r="G221" i="45"/>
  <c r="E221" i="45"/>
  <c r="AA9" i="45" s="1"/>
  <c r="S220" i="45"/>
  <c r="G220" i="45"/>
  <c r="E220" i="45"/>
  <c r="S219" i="45"/>
  <c r="L219" i="45"/>
  <c r="G219" i="45"/>
  <c r="E219" i="45"/>
  <c r="S215" i="45"/>
  <c r="G215" i="45"/>
  <c r="E215" i="45"/>
  <c r="S214" i="45"/>
  <c r="G214" i="45"/>
  <c r="E214" i="45"/>
  <c r="S213" i="45"/>
  <c r="G213" i="45"/>
  <c r="E213" i="45"/>
  <c r="S212" i="45"/>
  <c r="G212" i="45"/>
  <c r="E212" i="45"/>
  <c r="S208" i="45"/>
  <c r="G208" i="45"/>
  <c r="E208" i="45"/>
  <c r="S207" i="45"/>
  <c r="G207" i="45"/>
  <c r="E207" i="45"/>
  <c r="S187" i="45"/>
  <c r="G187" i="45"/>
  <c r="E187" i="45"/>
  <c r="S186" i="45"/>
  <c r="G186" i="45"/>
  <c r="E186" i="45"/>
  <c r="S185" i="45"/>
  <c r="G185" i="45"/>
  <c r="E185" i="45"/>
  <c r="S184" i="45"/>
  <c r="G184" i="45"/>
  <c r="E184" i="45"/>
  <c r="S183" i="45"/>
  <c r="G183" i="45"/>
  <c r="E183" i="45"/>
  <c r="S173" i="45"/>
  <c r="G173" i="45"/>
  <c r="E173" i="45"/>
  <c r="S172" i="45"/>
  <c r="G172" i="45"/>
  <c r="E172" i="45"/>
  <c r="S171" i="45"/>
  <c r="G171" i="45"/>
  <c r="E171" i="45"/>
  <c r="AJ174" i="45"/>
  <c r="AS11" i="45" s="1"/>
  <c r="AT11" i="45" s="1"/>
  <c r="S170" i="45"/>
  <c r="G170" i="45"/>
  <c r="E170" i="45"/>
  <c r="AG173" i="45"/>
  <c r="S169" i="45"/>
  <c r="G169" i="45"/>
  <c r="E169" i="45"/>
  <c r="AG172" i="45"/>
  <c r="S168" i="45"/>
  <c r="G168" i="45"/>
  <c r="E168" i="45"/>
  <c r="AG171" i="45"/>
  <c r="S167" i="45"/>
  <c r="G167" i="45"/>
  <c r="E167" i="45"/>
  <c r="AG170" i="45"/>
  <c r="S166" i="45"/>
  <c r="G166" i="45"/>
  <c r="E166" i="45"/>
  <c r="AG169" i="45"/>
  <c r="S165" i="45"/>
  <c r="G165" i="45"/>
  <c r="E165" i="45"/>
  <c r="AG168" i="45"/>
  <c r="S164" i="45"/>
  <c r="G164" i="45"/>
  <c r="E164" i="45"/>
  <c r="AG167" i="45"/>
  <c r="S163" i="45"/>
  <c r="G163" i="45"/>
  <c r="E163" i="45"/>
  <c r="AG166" i="45"/>
  <c r="S162" i="45"/>
  <c r="G162" i="45"/>
  <c r="E162" i="45"/>
  <c r="AG165" i="45"/>
  <c r="S161" i="45"/>
  <c r="G161" i="45"/>
  <c r="E161" i="45"/>
  <c r="AG164" i="45"/>
  <c r="S160" i="45"/>
  <c r="G160" i="45"/>
  <c r="E160" i="45"/>
  <c r="AG163" i="45"/>
  <c r="S159" i="45"/>
  <c r="G159" i="45"/>
  <c r="E159" i="45"/>
  <c r="AG162" i="45"/>
  <c r="S158" i="45"/>
  <c r="G158" i="45"/>
  <c r="E158" i="45"/>
  <c r="AG161" i="45"/>
  <c r="S157" i="45"/>
  <c r="G157" i="45"/>
  <c r="E157" i="45"/>
  <c r="AG160" i="45"/>
  <c r="AI160" i="45" s="1"/>
  <c r="S156" i="45"/>
  <c r="G156" i="45"/>
  <c r="E156" i="45"/>
  <c r="AG159" i="45"/>
  <c r="AI159" i="45" s="1"/>
  <c r="S155" i="45"/>
  <c r="G155" i="45"/>
  <c r="E155" i="45"/>
  <c r="AG158" i="45"/>
  <c r="AI158" i="45" s="1"/>
  <c r="S154" i="45"/>
  <c r="G154" i="45"/>
  <c r="E154" i="45"/>
  <c r="AG157" i="45"/>
  <c r="S153" i="45"/>
  <c r="G153" i="45"/>
  <c r="E153" i="45"/>
  <c r="AG156" i="45"/>
  <c r="AI156" i="45" s="1"/>
  <c r="S152" i="45"/>
  <c r="G152" i="45"/>
  <c r="E152" i="45"/>
  <c r="AG155" i="45"/>
  <c r="AI155" i="45" s="1"/>
  <c r="S151" i="45"/>
  <c r="G151" i="45"/>
  <c r="E151" i="45"/>
  <c r="AG154" i="45"/>
  <c r="AI154" i="45" s="1"/>
  <c r="S150" i="45"/>
  <c r="G150" i="45"/>
  <c r="E150" i="45"/>
  <c r="AJ152" i="45"/>
  <c r="AQ9" i="45" s="1"/>
  <c r="AG151" i="45"/>
  <c r="AG150" i="45"/>
  <c r="AG149" i="45"/>
  <c r="AG148" i="45"/>
  <c r="AI148" i="45" s="1"/>
  <c r="AG147" i="45"/>
  <c r="AI147" i="45" s="1"/>
  <c r="AG146" i="45"/>
  <c r="AI146" i="45" s="1"/>
  <c r="AG145" i="45"/>
  <c r="AI145" i="45" s="1"/>
  <c r="AG144" i="45"/>
  <c r="AI144" i="45" s="1"/>
  <c r="AG143" i="45"/>
  <c r="AI143" i="45" s="1"/>
  <c r="AG142" i="45"/>
  <c r="AI142" i="45" s="1"/>
  <c r="E138" i="45"/>
  <c r="AG141" i="45"/>
  <c r="AI141" i="45" s="1"/>
  <c r="E137" i="45"/>
  <c r="AG140" i="45"/>
  <c r="AI140" i="45" s="1"/>
  <c r="AG139" i="45"/>
  <c r="AI139" i="45" s="1"/>
  <c r="AG138" i="45"/>
  <c r="AI138" i="45" s="1"/>
  <c r="AG137" i="45"/>
  <c r="AG136" i="45"/>
  <c r="AI136" i="45" s="1"/>
  <c r="AG135" i="45"/>
  <c r="AI135" i="45" s="1"/>
  <c r="S131" i="45"/>
  <c r="AG134" i="45"/>
  <c r="AI134" i="45" s="1"/>
  <c r="S130" i="45"/>
  <c r="AG133" i="45"/>
  <c r="AG132" i="45"/>
  <c r="AI132" i="45" s="1"/>
  <c r="AJ130" i="45"/>
  <c r="AQ7" i="45" s="1"/>
  <c r="AS7" i="45" s="1"/>
  <c r="AT7" i="45" s="1"/>
  <c r="S126" i="45"/>
  <c r="G126" i="45"/>
  <c r="E126" i="45"/>
  <c r="AG129" i="45"/>
  <c r="S125" i="45"/>
  <c r="G125" i="45"/>
  <c r="E125" i="45"/>
  <c r="AG128" i="45"/>
  <c r="AI128" i="45" s="1"/>
  <c r="S124" i="45"/>
  <c r="G124" i="45"/>
  <c r="E124" i="45"/>
  <c r="AG127" i="45"/>
  <c r="S123" i="45"/>
  <c r="G123" i="45"/>
  <c r="E123" i="45"/>
  <c r="AG126" i="45"/>
  <c r="AI126" i="45" s="1"/>
  <c r="S122" i="45"/>
  <c r="G122" i="45"/>
  <c r="E122" i="45"/>
  <c r="AG125" i="45"/>
  <c r="AI125" i="45" s="1"/>
  <c r="AG124" i="45"/>
  <c r="AI124" i="45" s="1"/>
  <c r="AG123" i="45"/>
  <c r="AG122" i="45"/>
  <c r="AI122" i="45" s="1"/>
  <c r="AG121" i="45"/>
  <c r="AI121" i="45" s="1"/>
  <c r="AG120" i="45"/>
  <c r="AI120" i="45" s="1"/>
  <c r="AG119" i="45"/>
  <c r="AI119" i="45" s="1"/>
  <c r="AG118" i="45"/>
  <c r="AI118" i="45" s="1"/>
  <c r="S114" i="45"/>
  <c r="G114" i="45"/>
  <c r="E114" i="45"/>
  <c r="AG117" i="45"/>
  <c r="AI117" i="45" s="1"/>
  <c r="S113" i="45"/>
  <c r="G113" i="45"/>
  <c r="E113" i="45"/>
  <c r="AG116" i="45"/>
  <c r="AI116" i="45" s="1"/>
  <c r="S112" i="45"/>
  <c r="G112" i="45"/>
  <c r="E112" i="45"/>
  <c r="AG115" i="45"/>
  <c r="AI115" i="45" s="1"/>
  <c r="S111" i="45"/>
  <c r="G111" i="45"/>
  <c r="E111" i="45"/>
  <c r="AG114" i="45"/>
  <c r="AI114" i="45" s="1"/>
  <c r="S110" i="45"/>
  <c r="G110" i="45"/>
  <c r="E110" i="45"/>
  <c r="AG113" i="45"/>
  <c r="AI113" i="45" s="1"/>
  <c r="S109" i="45"/>
  <c r="E109" i="45"/>
  <c r="AG112" i="45"/>
  <c r="AI112" i="45" s="1"/>
  <c r="S108" i="45"/>
  <c r="E108" i="45"/>
  <c r="AG111" i="45"/>
  <c r="AI111" i="45" s="1"/>
  <c r="S107" i="45"/>
  <c r="G107" i="45"/>
  <c r="E107" i="45"/>
  <c r="AG110" i="45"/>
  <c r="AI110" i="45" s="1"/>
  <c r="AJ108" i="45"/>
  <c r="AQ5" i="45" s="1"/>
  <c r="AS5" i="45" s="1"/>
  <c r="AG107" i="45"/>
  <c r="G103" i="45"/>
  <c r="E103" i="45"/>
  <c r="AG106" i="45"/>
  <c r="G102" i="45"/>
  <c r="E102" i="45"/>
  <c r="AG105" i="45"/>
  <c r="G101" i="45"/>
  <c r="E101" i="45"/>
  <c r="AG104" i="45"/>
  <c r="AG103" i="45"/>
  <c r="AG102" i="45"/>
  <c r="AG101" i="45"/>
  <c r="AG100" i="45"/>
  <c r="AG99" i="45"/>
  <c r="S95" i="45"/>
  <c r="G95" i="45"/>
  <c r="E95" i="45"/>
  <c r="AG98" i="45"/>
  <c r="S94" i="45"/>
  <c r="G94" i="45"/>
  <c r="E94" i="45"/>
  <c r="AG97" i="45"/>
  <c r="S93" i="45"/>
  <c r="G93" i="45"/>
  <c r="E93" i="45"/>
  <c r="AG96" i="45"/>
  <c r="AG95" i="45"/>
  <c r="AG94" i="45"/>
  <c r="AG93" i="45"/>
  <c r="AG92" i="45"/>
  <c r="AG91" i="45"/>
  <c r="AG90" i="45"/>
  <c r="AG89" i="45"/>
  <c r="AG88" i="45"/>
  <c r="AG87" i="45"/>
  <c r="AG86" i="45"/>
  <c r="AG85" i="45"/>
  <c r="AG84" i="45"/>
  <c r="AG83" i="45"/>
  <c r="AG82" i="45"/>
  <c r="AG81" i="45"/>
  <c r="AG80" i="45"/>
  <c r="AG79" i="45"/>
  <c r="AG78" i="45"/>
  <c r="AG77" i="45"/>
  <c r="G77" i="45"/>
  <c r="E77" i="45"/>
  <c r="AG76" i="45"/>
  <c r="G76" i="45"/>
  <c r="E76" i="45"/>
  <c r="AG75" i="45"/>
  <c r="G75" i="45"/>
  <c r="E75" i="45"/>
  <c r="AG74" i="45"/>
  <c r="G74" i="45"/>
  <c r="E74" i="45"/>
  <c r="AG73" i="45"/>
  <c r="G73" i="45"/>
  <c r="E73" i="45"/>
  <c r="AG72" i="45"/>
  <c r="AG71" i="45"/>
  <c r="AG70" i="45"/>
  <c r="AG69" i="45"/>
  <c r="AG68" i="45"/>
  <c r="AG67" i="45"/>
  <c r="AG66" i="45"/>
  <c r="AG65" i="45"/>
  <c r="AG64" i="45"/>
  <c r="AG63" i="45"/>
  <c r="AG62" i="45"/>
  <c r="AG61" i="45"/>
  <c r="AG60" i="45"/>
  <c r="AG59" i="45"/>
  <c r="AG58" i="45"/>
  <c r="AG57" i="45"/>
  <c r="AG56" i="45"/>
  <c r="AG55" i="45"/>
  <c r="AG54" i="45"/>
  <c r="G54" i="45"/>
  <c r="E54" i="45"/>
  <c r="AG53" i="45"/>
  <c r="G53" i="45"/>
  <c r="E53" i="45"/>
  <c r="AG52" i="45"/>
  <c r="G52" i="45"/>
  <c r="E52" i="45"/>
  <c r="AG51" i="45"/>
  <c r="S51" i="45"/>
  <c r="G51" i="45"/>
  <c r="E51" i="45"/>
  <c r="AG50" i="45"/>
  <c r="S50" i="45"/>
  <c r="E50" i="45"/>
  <c r="AG49" i="45"/>
  <c r="AI49" i="45" s="1"/>
  <c r="AG48" i="45"/>
  <c r="AG47" i="45"/>
  <c r="AG46" i="45"/>
  <c r="S46" i="45"/>
  <c r="AG45" i="45"/>
  <c r="AI45" i="45" s="1"/>
  <c r="S45" i="45"/>
  <c r="G45" i="45"/>
  <c r="E45" i="45"/>
  <c r="AG44" i="45"/>
  <c r="S44" i="45"/>
  <c r="G44" i="45"/>
  <c r="E44" i="45"/>
  <c r="AG43" i="45"/>
  <c r="AI43" i="45" s="1"/>
  <c r="S43" i="45"/>
  <c r="G43" i="45"/>
  <c r="E43" i="45"/>
  <c r="AG42" i="45"/>
  <c r="AI42" i="45" s="1"/>
  <c r="S42" i="45"/>
  <c r="G42" i="45"/>
  <c r="E42" i="45"/>
  <c r="AG41" i="45"/>
  <c r="AI41" i="45" s="1"/>
  <c r="S41" i="45"/>
  <c r="G41" i="45"/>
  <c r="E41" i="45"/>
  <c r="AG40" i="45"/>
  <c r="AI40" i="45" s="1"/>
  <c r="AG39" i="45"/>
  <c r="AI39" i="45" s="1"/>
  <c r="AG38" i="45"/>
  <c r="AG37" i="45"/>
  <c r="AI37" i="45" s="1"/>
  <c r="S37" i="45"/>
  <c r="E37" i="45"/>
  <c r="AG36" i="45"/>
  <c r="AI36" i="45" s="1"/>
  <c r="S36" i="45"/>
  <c r="E36" i="45"/>
  <c r="AG35" i="45"/>
  <c r="AI35" i="45" s="1"/>
  <c r="S35" i="45"/>
  <c r="E35" i="45"/>
  <c r="AG34" i="45"/>
  <c r="AI34" i="45" s="1"/>
  <c r="S34" i="45"/>
  <c r="G34" i="45"/>
  <c r="E34" i="45"/>
  <c r="AG33" i="45"/>
  <c r="AI33" i="45" s="1"/>
  <c r="S33" i="45"/>
  <c r="L33" i="45"/>
  <c r="G33" i="45"/>
  <c r="E33" i="45"/>
  <c r="AG32" i="45"/>
  <c r="AI32" i="45" s="1"/>
  <c r="S32" i="45"/>
  <c r="L32" i="45"/>
  <c r="G32" i="45"/>
  <c r="E32" i="45"/>
  <c r="AG31" i="45"/>
  <c r="AI31" i="45" s="1"/>
  <c r="S31" i="45"/>
  <c r="L31" i="45"/>
  <c r="G31" i="45"/>
  <c r="E31" i="45"/>
  <c r="AG30" i="45"/>
  <c r="AI30" i="45" s="1"/>
  <c r="S30" i="45"/>
  <c r="G30" i="45"/>
  <c r="E30" i="45"/>
  <c r="AG29" i="45"/>
  <c r="AI29" i="45" s="1"/>
  <c r="S29" i="45"/>
  <c r="L29" i="45"/>
  <c r="G29" i="45"/>
  <c r="E29" i="45"/>
  <c r="AG28" i="45"/>
  <c r="AI28" i="45" s="1"/>
  <c r="S28" i="45"/>
  <c r="G28" i="45"/>
  <c r="E28" i="45"/>
  <c r="AG27" i="45"/>
  <c r="AI27" i="45" s="1"/>
  <c r="AG26" i="45"/>
  <c r="AG25" i="45"/>
  <c r="AI25" i="45" s="1"/>
  <c r="AG24" i="45"/>
  <c r="AI24" i="45" s="1"/>
  <c r="S24" i="45"/>
  <c r="L24" i="45"/>
  <c r="G24" i="45"/>
  <c r="E24" i="45"/>
  <c r="AG23" i="45"/>
  <c r="S23" i="45"/>
  <c r="L23" i="45"/>
  <c r="G23" i="45"/>
  <c r="E23" i="45"/>
  <c r="AG22" i="45"/>
  <c r="AI22" i="45" s="1"/>
  <c r="S22" i="45"/>
  <c r="L22" i="45"/>
  <c r="G22" i="45"/>
  <c r="E22" i="45"/>
  <c r="AG21" i="45"/>
  <c r="S21" i="45"/>
  <c r="L21" i="45"/>
  <c r="G21" i="45"/>
  <c r="E21" i="45"/>
  <c r="AG20" i="45"/>
  <c r="AI20" i="45" s="1"/>
  <c r="S20" i="45"/>
  <c r="L20" i="45"/>
  <c r="G20" i="45"/>
  <c r="E20" i="45"/>
  <c r="AG19" i="45"/>
  <c r="AI19" i="45" s="1"/>
  <c r="AG18" i="45"/>
  <c r="AI18" i="45" s="1"/>
  <c r="AG17" i="45"/>
  <c r="AI17" i="45" s="1"/>
  <c r="AG16" i="45"/>
  <c r="AI16" i="45" s="1"/>
  <c r="S16" i="45"/>
  <c r="L16" i="45"/>
  <c r="G16" i="45"/>
  <c r="E16" i="45"/>
  <c r="AG15" i="45"/>
  <c r="AI15" i="45" s="1"/>
  <c r="S15" i="45"/>
  <c r="L15" i="45"/>
  <c r="G15" i="45"/>
  <c r="E15" i="45"/>
  <c r="AG14" i="45"/>
  <c r="AI14" i="45" s="1"/>
  <c r="S14" i="45"/>
  <c r="L14" i="45"/>
  <c r="G14" i="45"/>
  <c r="E14" i="45"/>
  <c r="AG13" i="45"/>
  <c r="AI13" i="45" s="1"/>
  <c r="S13" i="45"/>
  <c r="L13" i="45"/>
  <c r="G13" i="45"/>
  <c r="E13" i="45"/>
  <c r="AG12" i="45"/>
  <c r="AI12" i="45" s="1"/>
  <c r="S12" i="45"/>
  <c r="L12" i="45"/>
  <c r="G12" i="45"/>
  <c r="E12" i="45"/>
  <c r="AG11" i="45"/>
  <c r="AI11" i="45" s="1"/>
  <c r="AG10" i="45"/>
  <c r="AI10" i="45" s="1"/>
  <c r="AG9" i="45"/>
  <c r="AI9" i="45" s="1"/>
  <c r="AG8" i="45"/>
  <c r="AI8" i="45" s="1"/>
  <c r="AG7" i="45"/>
  <c r="AI7" i="45" s="1"/>
  <c r="AG6" i="45"/>
  <c r="AI6" i="45" s="1"/>
  <c r="AG5" i="45"/>
  <c r="AM5" i="44"/>
  <c r="G235" i="44"/>
  <c r="G236" i="44"/>
  <c r="G237" i="44"/>
  <c r="G238" i="44"/>
  <c r="G239" i="44"/>
  <c r="G240" i="44"/>
  <c r="G241" i="44"/>
  <c r="G242" i="44"/>
  <c r="G214" i="44"/>
  <c r="G215" i="44"/>
  <c r="G216" i="44"/>
  <c r="G217" i="44"/>
  <c r="G218" i="44"/>
  <c r="G219" i="44"/>
  <c r="G204" i="44"/>
  <c r="G205" i="44"/>
  <c r="G206" i="44"/>
  <c r="G207" i="44"/>
  <c r="G203" i="44"/>
  <c r="G183" i="44"/>
  <c r="G184" i="44"/>
  <c r="G185" i="44"/>
  <c r="G186" i="44"/>
  <c r="G187" i="44"/>
  <c r="G188" i="44"/>
  <c r="G189" i="44"/>
  <c r="G190" i="44"/>
  <c r="G191" i="44"/>
  <c r="G150" i="44"/>
  <c r="G151" i="44"/>
  <c r="G152" i="44"/>
  <c r="G153" i="44"/>
  <c r="G154" i="44"/>
  <c r="G155" i="44"/>
  <c r="G156" i="44"/>
  <c r="G157" i="44"/>
  <c r="G158" i="44"/>
  <c r="G159" i="44"/>
  <c r="G160" i="44"/>
  <c r="G161" i="44"/>
  <c r="G162" i="44"/>
  <c r="G163" i="44"/>
  <c r="G164" i="44"/>
  <c r="G165" i="44"/>
  <c r="G166" i="44"/>
  <c r="G167" i="44"/>
  <c r="G168" i="44"/>
  <c r="G169" i="44"/>
  <c r="G170" i="44"/>
  <c r="G171" i="44"/>
  <c r="G172" i="44"/>
  <c r="G173" i="44"/>
  <c r="G174" i="44"/>
  <c r="G175" i="44"/>
  <c r="G176" i="44"/>
  <c r="G177" i="44"/>
  <c r="G139" i="44"/>
  <c r="G140" i="44"/>
  <c r="G141" i="44"/>
  <c r="G142" i="44"/>
  <c r="G124" i="44"/>
  <c r="G125" i="44"/>
  <c r="G126" i="44"/>
  <c r="G127" i="44"/>
  <c r="G128" i="44"/>
  <c r="G129" i="44"/>
  <c r="G130" i="44"/>
  <c r="G112" i="44"/>
  <c r="G113" i="44"/>
  <c r="G114" i="44"/>
  <c r="G115" i="44"/>
  <c r="G116" i="44"/>
  <c r="G117" i="44"/>
  <c r="G118" i="44"/>
  <c r="G92" i="44"/>
  <c r="G93" i="44"/>
  <c r="G94" i="44"/>
  <c r="G95" i="44"/>
  <c r="G96" i="44"/>
  <c r="G98" i="44"/>
  <c r="G99" i="44"/>
  <c r="G70" i="44"/>
  <c r="G71" i="44"/>
  <c r="G72" i="44"/>
  <c r="G73" i="44"/>
  <c r="G74" i="44"/>
  <c r="G75" i="44"/>
  <c r="G76" i="44"/>
  <c r="G77" i="44"/>
  <c r="G78" i="44"/>
  <c r="G79" i="44"/>
  <c r="G80" i="44"/>
  <c r="G81" i="44"/>
  <c r="G45" i="44"/>
  <c r="G37" i="44"/>
  <c r="E139" i="44"/>
  <c r="E140" i="44"/>
  <c r="E141" i="44"/>
  <c r="E142" i="44"/>
  <c r="E98" i="44"/>
  <c r="E94" i="44"/>
  <c r="E207" i="44"/>
  <c r="E203" i="44"/>
  <c r="E204" i="44"/>
  <c r="E205" i="44"/>
  <c r="E206" i="44"/>
  <c r="V126" i="39"/>
  <c r="S126" i="39"/>
  <c r="Q126" i="39"/>
  <c r="N126" i="39"/>
  <c r="M126" i="39"/>
  <c r="J126" i="39"/>
  <c r="G126" i="39"/>
  <c r="N46" i="44"/>
  <c r="I56" i="44"/>
  <c r="I57" i="44"/>
  <c r="Q123" i="39"/>
  <c r="M123" i="39"/>
  <c r="J123" i="39"/>
  <c r="G123" i="39"/>
  <c r="G69" i="44"/>
  <c r="E69" i="44"/>
  <c r="E70" i="44"/>
  <c r="E71" i="44"/>
  <c r="E72" i="44"/>
  <c r="E73" i="44"/>
  <c r="E74" i="44"/>
  <c r="E75" i="44"/>
  <c r="E76" i="44"/>
  <c r="E77" i="44"/>
  <c r="E78" i="44"/>
  <c r="E79" i="44"/>
  <c r="E80" i="44"/>
  <c r="E81" i="44"/>
  <c r="T57" i="44"/>
  <c r="T30" i="44"/>
  <c r="G63" i="44"/>
  <c r="G64" i="44"/>
  <c r="G65" i="44"/>
  <c r="G66" i="44"/>
  <c r="G67" i="44"/>
  <c r="G68" i="44"/>
  <c r="E68" i="44"/>
  <c r="E67" i="44"/>
  <c r="T56" i="44"/>
  <c r="G91" i="44"/>
  <c r="G89" i="44"/>
  <c r="G90" i="44"/>
  <c r="S8" i="44" l="1"/>
  <c r="H138" i="45"/>
  <c r="I138" i="45" s="1"/>
  <c r="H136" i="45"/>
  <c r="I136" i="45" s="1"/>
  <c r="H135" i="45"/>
  <c r="I135" i="45" s="1"/>
  <c r="H200" i="45"/>
  <c r="I200" i="45" s="1"/>
  <c r="H132" i="45"/>
  <c r="I132" i="45" s="1"/>
  <c r="H133" i="45"/>
  <c r="I133" i="45" s="1"/>
  <c r="H207" i="45"/>
  <c r="I207" i="45" s="1"/>
  <c r="H63" i="45"/>
  <c r="I63" i="45" s="1"/>
  <c r="H134" i="45"/>
  <c r="I134" i="45" s="1"/>
  <c r="L137" i="45"/>
  <c r="E189" i="45"/>
  <c r="Q36" i="45"/>
  <c r="Q44" i="45" s="1"/>
  <c r="Q45" i="45" s="1"/>
  <c r="Q46" i="45" s="1"/>
  <c r="G229" i="45"/>
  <c r="H229" i="45" s="1"/>
  <c r="I229" i="45" s="1"/>
  <c r="AB42" i="45"/>
  <c r="Z41" i="45"/>
  <c r="Z42" i="45" s="1"/>
  <c r="H109" i="45"/>
  <c r="I109" i="45" s="1"/>
  <c r="E229" i="45"/>
  <c r="E217" i="45" s="1"/>
  <c r="H108" i="45"/>
  <c r="I108" i="45" s="1"/>
  <c r="H198" i="45"/>
  <c r="I198" i="45" s="1"/>
  <c r="H84" i="45"/>
  <c r="I84" i="45" s="1"/>
  <c r="H86" i="45"/>
  <c r="I86" i="45" s="1"/>
  <c r="H199" i="45"/>
  <c r="I199" i="45" s="1"/>
  <c r="H87" i="45"/>
  <c r="I87" i="45" s="1"/>
  <c r="H197" i="45"/>
  <c r="H88" i="45"/>
  <c r="I88" i="45" s="1"/>
  <c r="N28" i="45"/>
  <c r="N30" i="45" s="1"/>
  <c r="N34" i="45" s="1"/>
  <c r="P41" i="45"/>
  <c r="P42" i="45" s="1"/>
  <c r="P43" i="45" s="1"/>
  <c r="Y93" i="45" s="1"/>
  <c r="O221" i="45"/>
  <c r="X112" i="45" s="1"/>
  <c r="M16" i="45"/>
  <c r="H59" i="45"/>
  <c r="J97" i="45"/>
  <c r="AQ13" i="45"/>
  <c r="AS13" i="45" s="1"/>
  <c r="AA7" i="45"/>
  <c r="H58" i="45"/>
  <c r="I58" i="45" s="1"/>
  <c r="H61" i="45"/>
  <c r="AS9" i="45"/>
  <c r="AT9" i="45" s="1"/>
  <c r="AU13" i="45"/>
  <c r="AT5" i="45"/>
  <c r="L34" i="44"/>
  <c r="H60" i="45"/>
  <c r="I60" i="45" s="1"/>
  <c r="H62" i="45"/>
  <c r="I62" i="45" s="1"/>
  <c r="AA10" i="45"/>
  <c r="H37" i="45"/>
  <c r="I37" i="45" s="1"/>
  <c r="AB7" i="45"/>
  <c r="W51" i="45"/>
  <c r="AA11" i="45"/>
  <c r="J48" i="45"/>
  <c r="AB8" i="45"/>
  <c r="AB11" i="45"/>
  <c r="AB10" i="45"/>
  <c r="H91" i="45"/>
  <c r="E26" i="45"/>
  <c r="H226" i="45"/>
  <c r="I226" i="45" s="1"/>
  <c r="H67" i="45"/>
  <c r="I67" i="45" s="1"/>
  <c r="H148" i="45"/>
  <c r="H234" i="45"/>
  <c r="I234" i="45" s="1"/>
  <c r="J39" i="45"/>
  <c r="H180" i="45"/>
  <c r="I180" i="45" s="1"/>
  <c r="H36" i="45"/>
  <c r="I36" i="45" s="1"/>
  <c r="E205" i="45"/>
  <c r="E140" i="45"/>
  <c r="E175" i="45"/>
  <c r="H228" i="45"/>
  <c r="I228" i="45" s="1"/>
  <c r="W63" i="45"/>
  <c r="H92" i="45"/>
  <c r="I92" i="45" s="1"/>
  <c r="J105" i="45"/>
  <c r="H230" i="45"/>
  <c r="I230" i="45" s="1"/>
  <c r="E116" i="45"/>
  <c r="W65" i="45"/>
  <c r="W64" i="45"/>
  <c r="X64" i="45" s="1"/>
  <c r="W62" i="45"/>
  <c r="W60" i="45"/>
  <c r="W59" i="45"/>
  <c r="W58" i="45"/>
  <c r="W57" i="45"/>
  <c r="Y56" i="45"/>
  <c r="Y55" i="45"/>
  <c r="W53" i="45"/>
  <c r="W52" i="45"/>
  <c r="X40" i="45"/>
  <c r="W40" i="45" s="1"/>
  <c r="W39" i="45"/>
  <c r="W38" i="45"/>
  <c r="W35" i="45"/>
  <c r="W34" i="45"/>
  <c r="X32" i="45"/>
  <c r="W32" i="45" s="1"/>
  <c r="X31" i="45"/>
  <c r="W31" i="45" s="1"/>
  <c r="W29" i="45"/>
  <c r="W28" i="45"/>
  <c r="W27" i="45"/>
  <c r="W26" i="45"/>
  <c r="W37" i="45"/>
  <c r="W36" i="45"/>
  <c r="W33" i="45"/>
  <c r="AA42" i="45"/>
  <c r="AC9" i="45"/>
  <c r="AD9" i="45" s="1"/>
  <c r="X30" i="45"/>
  <c r="W30" i="45" s="1"/>
  <c r="J56" i="45"/>
  <c r="AC42" i="45"/>
  <c r="Y54" i="45"/>
  <c r="AA82" i="45" s="1"/>
  <c r="W50" i="45"/>
  <c r="Y42" i="45"/>
  <c r="J189" i="45"/>
  <c r="R189" i="45" s="1"/>
  <c r="T195" i="45" s="1"/>
  <c r="W13" i="45" s="1"/>
  <c r="Y13" i="45" s="1"/>
  <c r="H15" i="45"/>
  <c r="I15" i="45" s="1"/>
  <c r="H130" i="45"/>
  <c r="H20" i="45"/>
  <c r="I20" i="45" s="1"/>
  <c r="H191" i="45"/>
  <c r="H233" i="45"/>
  <c r="J140" i="45"/>
  <c r="H69" i="45"/>
  <c r="E56" i="45"/>
  <c r="H145" i="45"/>
  <c r="I145" i="45" s="1"/>
  <c r="H224" i="45"/>
  <c r="AF35" i="45"/>
  <c r="AH35" i="45" s="1"/>
  <c r="E128" i="45"/>
  <c r="H81" i="45"/>
  <c r="I81" i="45" s="1"/>
  <c r="H121" i="45"/>
  <c r="I121" i="45" s="1"/>
  <c r="H178" i="45"/>
  <c r="I178" i="45" s="1"/>
  <c r="H223" i="45"/>
  <c r="AF5" i="45"/>
  <c r="AH5" i="45" s="1"/>
  <c r="J18" i="45"/>
  <c r="H72" i="45"/>
  <c r="I72" i="45" s="1"/>
  <c r="H66" i="45"/>
  <c r="I66" i="45" s="1"/>
  <c r="H90" i="45"/>
  <c r="I90" i="45" s="1"/>
  <c r="H118" i="45"/>
  <c r="I118" i="45" s="1"/>
  <c r="H149" i="45"/>
  <c r="I149" i="45" s="1"/>
  <c r="H147" i="45"/>
  <c r="I147" i="45" s="1"/>
  <c r="H193" i="45"/>
  <c r="H209" i="45"/>
  <c r="I209" i="45" s="1"/>
  <c r="H227" i="45"/>
  <c r="I227" i="45" s="1"/>
  <c r="H83" i="45"/>
  <c r="I83" i="45" s="1"/>
  <c r="H231" i="45"/>
  <c r="I231" i="45" s="1"/>
  <c r="H68" i="45"/>
  <c r="I68" i="45" s="1"/>
  <c r="H120" i="45"/>
  <c r="I120" i="45" s="1"/>
  <c r="AF18" i="45"/>
  <c r="AH18" i="45" s="1"/>
  <c r="AF21" i="45"/>
  <c r="AH21" i="45" s="1"/>
  <c r="H65" i="45"/>
  <c r="I65" i="45" s="1"/>
  <c r="H89" i="45"/>
  <c r="I89" i="45" s="1"/>
  <c r="H146" i="45"/>
  <c r="I146" i="45" s="1"/>
  <c r="H194" i="45"/>
  <c r="H225" i="45"/>
  <c r="H100" i="45"/>
  <c r="I100" i="45" s="1"/>
  <c r="H144" i="45"/>
  <c r="H71" i="45"/>
  <c r="I71" i="45" s="1"/>
  <c r="H182" i="45"/>
  <c r="I182" i="45" s="1"/>
  <c r="H177" i="45"/>
  <c r="I177" i="45" s="1"/>
  <c r="AF36" i="45"/>
  <c r="AH36" i="45" s="1"/>
  <c r="AF20" i="45"/>
  <c r="AH20" i="45" s="1"/>
  <c r="E105" i="45"/>
  <c r="J79" i="45"/>
  <c r="H82" i="45"/>
  <c r="I82" i="45" s="1"/>
  <c r="H99" i="45"/>
  <c r="I99" i="45" s="1"/>
  <c r="H143" i="45"/>
  <c r="I143" i="45" s="1"/>
  <c r="H179" i="45"/>
  <c r="I179" i="45" s="1"/>
  <c r="H85" i="45"/>
  <c r="I85" i="45" s="1"/>
  <c r="H13" i="45"/>
  <c r="I13" i="45" s="1"/>
  <c r="E10" i="45"/>
  <c r="H22" i="45"/>
  <c r="I22" i="45" s="1"/>
  <c r="H119" i="45"/>
  <c r="I119" i="45" s="1"/>
  <c r="H181" i="45"/>
  <c r="I181" i="45" s="1"/>
  <c r="H210" i="45"/>
  <c r="I210" i="45" s="1"/>
  <c r="H222" i="45"/>
  <c r="H232" i="45"/>
  <c r="I232" i="45" s="1"/>
  <c r="J217" i="45"/>
  <c r="H211" i="45"/>
  <c r="I211" i="45" s="1"/>
  <c r="H196" i="45"/>
  <c r="I196" i="45" s="1"/>
  <c r="H192" i="45"/>
  <c r="I192" i="45" s="1"/>
  <c r="H195" i="45"/>
  <c r="I195" i="45" s="1"/>
  <c r="J128" i="45"/>
  <c r="H131" i="45"/>
  <c r="I131" i="45" s="1"/>
  <c r="E97" i="45"/>
  <c r="H70" i="45"/>
  <c r="I70" i="45" s="1"/>
  <c r="AF16" i="45"/>
  <c r="AH16" i="45" s="1"/>
  <c r="E18" i="45"/>
  <c r="AF22" i="45"/>
  <c r="AH22" i="45" s="1"/>
  <c r="AF23" i="45"/>
  <c r="AH23" i="45" s="1"/>
  <c r="AF26" i="45"/>
  <c r="AH26" i="45" s="1"/>
  <c r="H28" i="45"/>
  <c r="I28" i="45" s="1"/>
  <c r="H29" i="45"/>
  <c r="I29" i="45" s="1"/>
  <c r="H30" i="45"/>
  <c r="I30" i="45" s="1"/>
  <c r="AF31" i="45"/>
  <c r="AH31" i="45" s="1"/>
  <c r="H33" i="45"/>
  <c r="I33" i="45" s="1"/>
  <c r="E39" i="45"/>
  <c r="AF49" i="45"/>
  <c r="AH49" i="45" s="1"/>
  <c r="H76" i="45"/>
  <c r="I76" i="45" s="1"/>
  <c r="AF9" i="45"/>
  <c r="AH9" i="45" s="1"/>
  <c r="AF149" i="45"/>
  <c r="AH149" i="45" s="1"/>
  <c r="AF145" i="45"/>
  <c r="AH145" i="45" s="1"/>
  <c r="AF120" i="45"/>
  <c r="AH120" i="45" s="1"/>
  <c r="AF119" i="45"/>
  <c r="AH119" i="45" s="1"/>
  <c r="AF116" i="45"/>
  <c r="AH116" i="45" s="1"/>
  <c r="AF112" i="45"/>
  <c r="AH112" i="45" s="1"/>
  <c r="AF106" i="45"/>
  <c r="AH106" i="45" s="1"/>
  <c r="AF148" i="45"/>
  <c r="AH148" i="45" s="1"/>
  <c r="AF141" i="45"/>
  <c r="AH141" i="45" s="1"/>
  <c r="AF115" i="45"/>
  <c r="AH115" i="45" s="1"/>
  <c r="AF111" i="45"/>
  <c r="AH111" i="45" s="1"/>
  <c r="AF105" i="45"/>
  <c r="AH105" i="45" s="1"/>
  <c r="AF98" i="45"/>
  <c r="AH98" i="45" s="1"/>
  <c r="AF94" i="45"/>
  <c r="AH94" i="45" s="1"/>
  <c r="AF88" i="45"/>
  <c r="AH88" i="45" s="1"/>
  <c r="AF151" i="45"/>
  <c r="AH151" i="45" s="1"/>
  <c r="AF147" i="45"/>
  <c r="AH147" i="45" s="1"/>
  <c r="AF139" i="45"/>
  <c r="AH139" i="45" s="1"/>
  <c r="AF132" i="45"/>
  <c r="AH132" i="45" s="1"/>
  <c r="AF114" i="45"/>
  <c r="AH114" i="45" s="1"/>
  <c r="AF110" i="45"/>
  <c r="AH110" i="45" s="1"/>
  <c r="AF101" i="45"/>
  <c r="AH101" i="45" s="1"/>
  <c r="AF100" i="45"/>
  <c r="AH100" i="45" s="1"/>
  <c r="AF97" i="45"/>
  <c r="AH97" i="45" s="1"/>
  <c r="AF93" i="45"/>
  <c r="AH93" i="45" s="1"/>
  <c r="AF86" i="45"/>
  <c r="AH86" i="45" s="1"/>
  <c r="AF138" i="45"/>
  <c r="AH138" i="45" s="1"/>
  <c r="AF134" i="45"/>
  <c r="AH134" i="45" s="1"/>
  <c r="AF128" i="45"/>
  <c r="AH128" i="45" s="1"/>
  <c r="AF124" i="45"/>
  <c r="AH124" i="45" s="1"/>
  <c r="AF103" i="45"/>
  <c r="AH103" i="45" s="1"/>
  <c r="AF117" i="45"/>
  <c r="AH117" i="45" s="1"/>
  <c r="AF95" i="45"/>
  <c r="AH95" i="45" s="1"/>
  <c r="AF81" i="45"/>
  <c r="AH81" i="45" s="1"/>
  <c r="AF79" i="45"/>
  <c r="AH79" i="45" s="1"/>
  <c r="AF71" i="45"/>
  <c r="AH71" i="45" s="1"/>
  <c r="AF146" i="45"/>
  <c r="AH146" i="45" s="1"/>
  <c r="AF96" i="45"/>
  <c r="AH96" i="45" s="1"/>
  <c r="AF91" i="45"/>
  <c r="AH91" i="45" s="1"/>
  <c r="AF85" i="45"/>
  <c r="AH85" i="45" s="1"/>
  <c r="AF78" i="45"/>
  <c r="AH78" i="45" s="1"/>
  <c r="AF70" i="45"/>
  <c r="AH70" i="45" s="1"/>
  <c r="AF150" i="45"/>
  <c r="AH150" i="45" s="1"/>
  <c r="AF92" i="45"/>
  <c r="AH92" i="45" s="1"/>
  <c r="AF68" i="45"/>
  <c r="AH68" i="45" s="1"/>
  <c r="AF63" i="45"/>
  <c r="AH63" i="45" s="1"/>
  <c r="AF82" i="45"/>
  <c r="AH82" i="45" s="1"/>
  <c r="AF75" i="45"/>
  <c r="AH75" i="45" s="1"/>
  <c r="AF64" i="45"/>
  <c r="AH64" i="45" s="1"/>
  <c r="AF60" i="45"/>
  <c r="AH60" i="45" s="1"/>
  <c r="AF54" i="45"/>
  <c r="AH54" i="45" s="1"/>
  <c r="AF50" i="45"/>
  <c r="AH50" i="45" s="1"/>
  <c r="AF42" i="45"/>
  <c r="AH42" i="45" s="1"/>
  <c r="AF45" i="45"/>
  <c r="AH45" i="45" s="1"/>
  <c r="AF41" i="45"/>
  <c r="AH41" i="45" s="1"/>
  <c r="AF40" i="45"/>
  <c r="AH40" i="45" s="1"/>
  <c r="AF113" i="45"/>
  <c r="AH113" i="45" s="1"/>
  <c r="AF107" i="45"/>
  <c r="AH107" i="45" s="1"/>
  <c r="AF83" i="45"/>
  <c r="AH83" i="45" s="1"/>
  <c r="AF56" i="45"/>
  <c r="AH56" i="45" s="1"/>
  <c r="AF51" i="45"/>
  <c r="AH51" i="45" s="1"/>
  <c r="AF12" i="45"/>
  <c r="AH12" i="45" s="1"/>
  <c r="AF17" i="45"/>
  <c r="AH17" i="45" s="1"/>
  <c r="AI21" i="45"/>
  <c r="AF24" i="45"/>
  <c r="AH24" i="45" s="1"/>
  <c r="AF33" i="45"/>
  <c r="AH33" i="45" s="1"/>
  <c r="H41" i="45"/>
  <c r="I41" i="45" s="1"/>
  <c r="AF43" i="45"/>
  <c r="AH43" i="45" s="1"/>
  <c r="AI46" i="45"/>
  <c r="AF46" i="45"/>
  <c r="AH46" i="45" s="1"/>
  <c r="AF52" i="45"/>
  <c r="AH52" i="45" s="1"/>
  <c r="AF66" i="45"/>
  <c r="AH66" i="45" s="1"/>
  <c r="AF76" i="45"/>
  <c r="AH76" i="45" s="1"/>
  <c r="AF7" i="45"/>
  <c r="AH7" i="45" s="1"/>
  <c r="AF6" i="45"/>
  <c r="AH6" i="45" s="1"/>
  <c r="AF8" i="45"/>
  <c r="AH8" i="45" s="1"/>
  <c r="AF11" i="45"/>
  <c r="AH11" i="45" s="1"/>
  <c r="H12" i="45"/>
  <c r="I12" i="45" s="1"/>
  <c r="AF14" i="45"/>
  <c r="AH14" i="45" s="1"/>
  <c r="H16" i="45"/>
  <c r="I16" i="45" s="1"/>
  <c r="H19" i="45"/>
  <c r="I19" i="45" s="1"/>
  <c r="AI23" i="45"/>
  <c r="AI26" i="45"/>
  <c r="AF27" i="45"/>
  <c r="AH27" i="45" s="1"/>
  <c r="AF28" i="45"/>
  <c r="AH28" i="45" s="1"/>
  <c r="AF29" i="45"/>
  <c r="AH29" i="45" s="1"/>
  <c r="AF30" i="45"/>
  <c r="AH30" i="45" s="1"/>
  <c r="H45" i="45"/>
  <c r="I45" i="45" s="1"/>
  <c r="E48" i="45"/>
  <c r="H74" i="45"/>
  <c r="I74" i="45" s="1"/>
  <c r="AF102" i="45"/>
  <c r="AH102" i="45" s="1"/>
  <c r="AF47" i="45"/>
  <c r="AH47" i="45" s="1"/>
  <c r="H50" i="45"/>
  <c r="I50" i="45" s="1"/>
  <c r="AF53" i="45"/>
  <c r="AH53" i="45" s="1"/>
  <c r="AF61" i="45"/>
  <c r="AH61" i="45" s="1"/>
  <c r="AF62" i="45"/>
  <c r="AH62" i="45" s="1"/>
  <c r="H238" i="45"/>
  <c r="I238" i="45" s="1"/>
  <c r="H114" i="45"/>
  <c r="I114" i="45" s="1"/>
  <c r="H110" i="45"/>
  <c r="I110" i="45" s="1"/>
  <c r="H239" i="45"/>
  <c r="I239" i="45" s="1"/>
  <c r="H235" i="45"/>
  <c r="I235" i="45" s="1"/>
  <c r="H219" i="45"/>
  <c r="I219" i="45" s="1"/>
  <c r="H171" i="45"/>
  <c r="I171" i="45" s="1"/>
  <c r="H103" i="45"/>
  <c r="I103" i="45" s="1"/>
  <c r="H236" i="45"/>
  <c r="I236" i="45" s="1"/>
  <c r="H220" i="45"/>
  <c r="I220" i="45" s="1"/>
  <c r="H172" i="45"/>
  <c r="I172" i="45" s="1"/>
  <c r="H173" i="45"/>
  <c r="I173" i="45" s="1"/>
  <c r="H73" i="45"/>
  <c r="I73" i="45" s="1"/>
  <c r="H107" i="45"/>
  <c r="I107" i="45" s="1"/>
  <c r="H111" i="45"/>
  <c r="I111" i="45" s="1"/>
  <c r="H32" i="45"/>
  <c r="I32" i="45" s="1"/>
  <c r="H93" i="45"/>
  <c r="I93" i="45" s="1"/>
  <c r="H77" i="45"/>
  <c r="H221" i="45"/>
  <c r="I221" i="45" s="1"/>
  <c r="H94" i="45"/>
  <c r="I94" i="45" s="1"/>
  <c r="H51" i="45"/>
  <c r="I51" i="45" s="1"/>
  <c r="AF10" i="45"/>
  <c r="AH10" i="45" s="1"/>
  <c r="H14" i="45"/>
  <c r="I14" i="45" s="1"/>
  <c r="H18" i="45"/>
  <c r="I18" i="45" s="1"/>
  <c r="AF19" i="45"/>
  <c r="AH19" i="45" s="1"/>
  <c r="H23" i="45"/>
  <c r="I23" i="45" s="1"/>
  <c r="AF25" i="45"/>
  <c r="AH25" i="45" s="1"/>
  <c r="AF32" i="45"/>
  <c r="AH32" i="45" s="1"/>
  <c r="H42" i="45"/>
  <c r="I42" i="45" s="1"/>
  <c r="H44" i="45"/>
  <c r="I44" i="45" s="1"/>
  <c r="H53" i="45"/>
  <c r="I53" i="45" s="1"/>
  <c r="AF58" i="45"/>
  <c r="AH58" i="45" s="1"/>
  <c r="AF59" i="45"/>
  <c r="AH59" i="45" s="1"/>
  <c r="AF99" i="45"/>
  <c r="AH99" i="45" s="1"/>
  <c r="H21" i="45"/>
  <c r="I21" i="45" s="1"/>
  <c r="J10" i="45"/>
  <c r="AF15" i="45"/>
  <c r="AH15" i="45" s="1"/>
  <c r="H24" i="45"/>
  <c r="I24" i="45" s="1"/>
  <c r="H34" i="45"/>
  <c r="I34" i="45" s="1"/>
  <c r="AF37" i="45"/>
  <c r="AH37" i="45" s="1"/>
  <c r="AF38" i="45"/>
  <c r="AH38" i="45" s="1"/>
  <c r="AI38" i="45"/>
  <c r="AF39" i="45"/>
  <c r="AH39" i="45" s="1"/>
  <c r="H52" i="45"/>
  <c r="I52" i="45" s="1"/>
  <c r="AF57" i="45"/>
  <c r="AH57" i="45" s="1"/>
  <c r="AF72" i="45"/>
  <c r="AH72" i="45" s="1"/>
  <c r="H75" i="45"/>
  <c r="I75" i="45" s="1"/>
  <c r="AF80" i="45"/>
  <c r="AH80" i="45" s="1"/>
  <c r="AI5" i="45"/>
  <c r="AF13" i="45"/>
  <c r="AH13" i="45" s="1"/>
  <c r="H31" i="45"/>
  <c r="I31" i="45" s="1"/>
  <c r="AF34" i="45"/>
  <c r="AH34" i="45" s="1"/>
  <c r="AF48" i="45"/>
  <c r="AH48" i="45" s="1"/>
  <c r="H43" i="45"/>
  <c r="I43" i="45" s="1"/>
  <c r="AF44" i="45"/>
  <c r="AH44" i="45" s="1"/>
  <c r="H46" i="45"/>
  <c r="AF65" i="45"/>
  <c r="AH65" i="45" s="1"/>
  <c r="AF73" i="45"/>
  <c r="AH73" i="45" s="1"/>
  <c r="AF135" i="45"/>
  <c r="AH135" i="45" s="1"/>
  <c r="AF159" i="45"/>
  <c r="AH159" i="45" s="1"/>
  <c r="H159" i="45"/>
  <c r="I159" i="45" s="1"/>
  <c r="AF166" i="45"/>
  <c r="AH166" i="45" s="1"/>
  <c r="AF173" i="45"/>
  <c r="AH173" i="45" s="1"/>
  <c r="H186" i="45"/>
  <c r="I186" i="45" s="1"/>
  <c r="H215" i="45"/>
  <c r="I215" i="45" s="1"/>
  <c r="H237" i="45"/>
  <c r="I237" i="45" s="1"/>
  <c r="H54" i="45"/>
  <c r="I54" i="45" s="1"/>
  <c r="AF67" i="45"/>
  <c r="AH67" i="45" s="1"/>
  <c r="AF74" i="45"/>
  <c r="AH74" i="45" s="1"/>
  <c r="AF87" i="45"/>
  <c r="AH87" i="45" s="1"/>
  <c r="L111" i="45"/>
  <c r="AF125" i="45"/>
  <c r="AH125" i="45" s="1"/>
  <c r="AF143" i="45"/>
  <c r="AH143" i="45" s="1"/>
  <c r="H151" i="45"/>
  <c r="I151" i="45" s="1"/>
  <c r="AF156" i="45"/>
  <c r="AH156" i="45" s="1"/>
  <c r="AF168" i="45"/>
  <c r="AH168" i="45" s="1"/>
  <c r="H168" i="45"/>
  <c r="I168" i="45" s="1"/>
  <c r="H208" i="45"/>
  <c r="I208" i="45" s="1"/>
  <c r="AI44" i="45"/>
  <c r="AI47" i="45"/>
  <c r="AI48" i="45"/>
  <c r="AF89" i="45"/>
  <c r="AH89" i="45" s="1"/>
  <c r="AF122" i="45"/>
  <c r="AH122" i="45" s="1"/>
  <c r="H125" i="45"/>
  <c r="I125" i="45" s="1"/>
  <c r="AF137" i="45"/>
  <c r="AH137" i="45" s="1"/>
  <c r="AI137" i="45"/>
  <c r="AF158" i="45"/>
  <c r="AH158" i="45" s="1"/>
  <c r="AF161" i="45"/>
  <c r="AH161" i="45" s="1"/>
  <c r="AI161" i="45"/>
  <c r="H163" i="45"/>
  <c r="I163" i="45" s="1"/>
  <c r="AF55" i="45"/>
  <c r="AH55" i="45" s="1"/>
  <c r="AF127" i="45"/>
  <c r="AH127" i="45" s="1"/>
  <c r="AI127" i="45"/>
  <c r="H156" i="45"/>
  <c r="I156" i="45" s="1"/>
  <c r="AF163" i="45"/>
  <c r="AH163" i="45" s="1"/>
  <c r="AF172" i="45"/>
  <c r="AH172" i="45" s="1"/>
  <c r="H187" i="45"/>
  <c r="I187" i="45" s="1"/>
  <c r="AF69" i="45"/>
  <c r="AH69" i="45" s="1"/>
  <c r="AF77" i="45"/>
  <c r="AH77" i="45" s="1"/>
  <c r="AF84" i="45"/>
  <c r="AH84" i="45" s="1"/>
  <c r="AF104" i="45"/>
  <c r="AH104" i="45" s="1"/>
  <c r="H113" i="45"/>
  <c r="I113" i="45" s="1"/>
  <c r="H122" i="45"/>
  <c r="I122" i="45" s="1"/>
  <c r="AF155" i="45"/>
  <c r="AH155" i="45" s="1"/>
  <c r="AF165" i="45"/>
  <c r="AH165" i="45" s="1"/>
  <c r="H167" i="45"/>
  <c r="I167" i="45" s="1"/>
  <c r="AF121" i="45"/>
  <c r="AH121" i="45" s="1"/>
  <c r="H124" i="45"/>
  <c r="I124" i="45" s="1"/>
  <c r="AF129" i="45"/>
  <c r="AH129" i="45" s="1"/>
  <c r="AF136" i="45"/>
  <c r="AH136" i="45" s="1"/>
  <c r="AF144" i="45"/>
  <c r="AH144" i="45" s="1"/>
  <c r="H155" i="45"/>
  <c r="I155" i="45" s="1"/>
  <c r="AF160" i="45"/>
  <c r="AH160" i="45" s="1"/>
  <c r="H160" i="45"/>
  <c r="I160" i="45" s="1"/>
  <c r="AF167" i="45"/>
  <c r="AH167" i="45" s="1"/>
  <c r="H101" i="45"/>
  <c r="I101" i="45" s="1"/>
  <c r="J116" i="45"/>
  <c r="AF126" i="45"/>
  <c r="AH126" i="45" s="1"/>
  <c r="AF133" i="45"/>
  <c r="AH133" i="45" s="1"/>
  <c r="AI133" i="45"/>
  <c r="AF154" i="45"/>
  <c r="AH154" i="45" s="1"/>
  <c r="AF157" i="45"/>
  <c r="AH157" i="45" s="1"/>
  <c r="AI157" i="45"/>
  <c r="AF162" i="45"/>
  <c r="AH162" i="45" s="1"/>
  <c r="AF169" i="45"/>
  <c r="AH169" i="45" s="1"/>
  <c r="J175" i="45"/>
  <c r="H183" i="45"/>
  <c r="I183" i="45" s="1"/>
  <c r="J205" i="45"/>
  <c r="H212" i="45"/>
  <c r="I212" i="45" s="1"/>
  <c r="E79" i="45"/>
  <c r="AF90" i="45"/>
  <c r="AH90" i="45" s="1"/>
  <c r="AF123" i="45"/>
  <c r="AH123" i="45" s="1"/>
  <c r="AI123" i="45"/>
  <c r="H126" i="45"/>
  <c r="I126" i="45" s="1"/>
  <c r="AF140" i="45"/>
  <c r="AH140" i="45" s="1"/>
  <c r="AF142" i="45"/>
  <c r="AH142" i="45" s="1"/>
  <c r="H152" i="45"/>
  <c r="I152" i="45" s="1"/>
  <c r="AF164" i="45"/>
  <c r="AH164" i="45" s="1"/>
  <c r="H164" i="45"/>
  <c r="I164" i="45" s="1"/>
  <c r="AF171" i="45"/>
  <c r="AH171" i="45" s="1"/>
  <c r="AF170" i="45"/>
  <c r="AH170" i="45" s="1"/>
  <c r="H95" i="45"/>
  <c r="I95" i="45" s="1"/>
  <c r="H102" i="45"/>
  <c r="I102" i="45" s="1"/>
  <c r="H112" i="45"/>
  <c r="I112" i="45" s="1"/>
  <c r="AF118" i="45"/>
  <c r="AH118" i="45" s="1"/>
  <c r="H123" i="45"/>
  <c r="I123" i="45" s="1"/>
  <c r="H153" i="45"/>
  <c r="I153" i="45" s="1"/>
  <c r="H157" i="45"/>
  <c r="I157" i="45" s="1"/>
  <c r="H161" i="45"/>
  <c r="I161" i="45" s="1"/>
  <c r="H165" i="45"/>
  <c r="I165" i="45" s="1"/>
  <c r="H169" i="45"/>
  <c r="I169" i="45" s="1"/>
  <c r="H185" i="45"/>
  <c r="I185" i="45" s="1"/>
  <c r="H214" i="45"/>
  <c r="I214" i="45" s="1"/>
  <c r="H150" i="45"/>
  <c r="I150" i="45" s="1"/>
  <c r="H154" i="45"/>
  <c r="I154" i="45" s="1"/>
  <c r="H158" i="45"/>
  <c r="I158" i="45" s="1"/>
  <c r="H162" i="45"/>
  <c r="I162" i="45" s="1"/>
  <c r="H166" i="45"/>
  <c r="I166" i="45" s="1"/>
  <c r="H170" i="45"/>
  <c r="I170" i="45" s="1"/>
  <c r="H184" i="45"/>
  <c r="I184" i="45" s="1"/>
  <c r="H213" i="45"/>
  <c r="I213" i="45" s="1"/>
  <c r="L135" i="45" l="1"/>
  <c r="L136" i="45"/>
  <c r="L138" i="45"/>
  <c r="L200" i="45"/>
  <c r="Y137" i="45"/>
  <c r="Y131" i="45"/>
  <c r="L63" i="45"/>
  <c r="Y136" i="45"/>
  <c r="Y144" i="45"/>
  <c r="Y145" i="45"/>
  <c r="Y138" i="45"/>
  <c r="Y130" i="45"/>
  <c r="Y133" i="45"/>
  <c r="Y135" i="45"/>
  <c r="Y141" i="45"/>
  <c r="Y143" i="45"/>
  <c r="Y149" i="45"/>
  <c r="Y132" i="45"/>
  <c r="Y134" i="45"/>
  <c r="Y139" i="45"/>
  <c r="Y140" i="45"/>
  <c r="Y142" i="45"/>
  <c r="Y147" i="45"/>
  <c r="Y148" i="45"/>
  <c r="Y146" i="45"/>
  <c r="Q134" i="45"/>
  <c r="Q193" i="45" s="1"/>
  <c r="AI164" i="45"/>
  <c r="L134" i="45"/>
  <c r="L74" i="45"/>
  <c r="L67" i="45"/>
  <c r="L65" i="45"/>
  <c r="L76" i="45"/>
  <c r="I69" i="45"/>
  <c r="L69" i="45"/>
  <c r="L66" i="45"/>
  <c r="L71" i="45"/>
  <c r="L70" i="45"/>
  <c r="I77" i="45"/>
  <c r="L77" i="45"/>
  <c r="L68" i="45"/>
  <c r="L73" i="45"/>
  <c r="L72" i="45"/>
  <c r="L75" i="45"/>
  <c r="X148" i="45"/>
  <c r="X131" i="45"/>
  <c r="X136" i="45"/>
  <c r="X141" i="45"/>
  <c r="X130" i="45"/>
  <c r="X145" i="45"/>
  <c r="X147" i="45"/>
  <c r="X143" i="45"/>
  <c r="X140" i="45"/>
  <c r="X133" i="45"/>
  <c r="X142" i="45"/>
  <c r="X138" i="45"/>
  <c r="X144" i="45"/>
  <c r="X137" i="45"/>
  <c r="X139" i="45"/>
  <c r="X146" i="45"/>
  <c r="X149" i="45"/>
  <c r="X132" i="45"/>
  <c r="X135" i="45"/>
  <c r="X134" i="45"/>
  <c r="W41" i="45"/>
  <c r="V42" i="45" s="1"/>
  <c r="I46" i="45"/>
  <c r="AI96" i="45"/>
  <c r="AI102" i="45"/>
  <c r="I59" i="45"/>
  <c r="AI93" i="45" s="1"/>
  <c r="AI99" i="45"/>
  <c r="AI90" i="45"/>
  <c r="AI101" i="45"/>
  <c r="AI92" i="45"/>
  <c r="AI94" i="45"/>
  <c r="AI95" i="45"/>
  <c r="AI104" i="45"/>
  <c r="Y85" i="45"/>
  <c r="AA8" i="45"/>
  <c r="L132" i="45"/>
  <c r="L198" i="45"/>
  <c r="I197" i="45"/>
  <c r="L197" i="45"/>
  <c r="L199" i="45"/>
  <c r="X93" i="45"/>
  <c r="Y128" i="45"/>
  <c r="Y97" i="45"/>
  <c r="X111" i="45"/>
  <c r="Y101" i="45"/>
  <c r="Y122" i="45"/>
  <c r="X115" i="45"/>
  <c r="X150" i="45"/>
  <c r="X123" i="45"/>
  <c r="Y83" i="45"/>
  <c r="X84" i="45"/>
  <c r="X97" i="45"/>
  <c r="X107" i="45"/>
  <c r="Y118" i="45"/>
  <c r="X82" i="45"/>
  <c r="Y127" i="45"/>
  <c r="Y112" i="45"/>
  <c r="X126" i="45"/>
  <c r="Y82" i="45"/>
  <c r="X95" i="45"/>
  <c r="Y106" i="45"/>
  <c r="X120" i="45"/>
  <c r="Y108" i="45"/>
  <c r="Y151" i="45"/>
  <c r="Y84" i="45"/>
  <c r="Y126" i="45"/>
  <c r="X85" i="45"/>
  <c r="Y120" i="45"/>
  <c r="Y89" i="45"/>
  <c r="X103" i="45"/>
  <c r="Y114" i="45"/>
  <c r="X128" i="45"/>
  <c r="X98" i="45"/>
  <c r="X89" i="45"/>
  <c r="X90" i="45"/>
  <c r="Y109" i="45"/>
  <c r="X151" i="45"/>
  <c r="X92" i="45"/>
  <c r="Y87" i="45"/>
  <c r="X101" i="45"/>
  <c r="X86" i="45"/>
  <c r="Y105" i="45"/>
  <c r="X119" i="45"/>
  <c r="Y116" i="45"/>
  <c r="Y150" i="45"/>
  <c r="Y91" i="45"/>
  <c r="X105" i="45"/>
  <c r="X83" i="45"/>
  <c r="W55" i="45"/>
  <c r="X55" i="45" s="1"/>
  <c r="AA83" i="45"/>
  <c r="Y117" i="45"/>
  <c r="Y86" i="45"/>
  <c r="X100" i="45"/>
  <c r="Y95" i="45"/>
  <c r="X109" i="45"/>
  <c r="X94" i="45"/>
  <c r="Y113" i="45"/>
  <c r="X127" i="45"/>
  <c r="X106" i="45"/>
  <c r="X88" i="45"/>
  <c r="Y99" i="45"/>
  <c r="X113" i="45"/>
  <c r="Y124" i="45"/>
  <c r="W56" i="45"/>
  <c r="X56" i="45" s="1"/>
  <c r="AA84" i="45"/>
  <c r="Y125" i="45"/>
  <c r="Y94" i="45"/>
  <c r="X108" i="45"/>
  <c r="Y103" i="45"/>
  <c r="X117" i="45"/>
  <c r="Y92" i="45"/>
  <c r="Y88" i="45"/>
  <c r="X102" i="45"/>
  <c r="Y121" i="45"/>
  <c r="X96" i="45"/>
  <c r="Y107" i="45"/>
  <c r="X121" i="45"/>
  <c r="X114" i="45"/>
  <c r="X91" i="45"/>
  <c r="Y102" i="45"/>
  <c r="X116" i="45"/>
  <c r="Y111" i="45"/>
  <c r="X125" i="45"/>
  <c r="X122" i="45"/>
  <c r="Y96" i="45"/>
  <c r="X110" i="45"/>
  <c r="Y129" i="45"/>
  <c r="Y90" i="45"/>
  <c r="X104" i="45"/>
  <c r="Y115" i="45"/>
  <c r="X129" i="45"/>
  <c r="X99" i="45"/>
  <c r="Y110" i="45"/>
  <c r="X124" i="45"/>
  <c r="Y119" i="45"/>
  <c r="Y104" i="45"/>
  <c r="X118" i="45"/>
  <c r="Y100" i="45"/>
  <c r="X87" i="45"/>
  <c r="Y98" i="45"/>
  <c r="Y123" i="45"/>
  <c r="R97" i="45"/>
  <c r="L178" i="45"/>
  <c r="L92" i="45"/>
  <c r="M20" i="45"/>
  <c r="M21" i="45" s="1"/>
  <c r="N35" i="45"/>
  <c r="R39" i="45"/>
  <c r="L234" i="45"/>
  <c r="L62" i="45"/>
  <c r="R10" i="45"/>
  <c r="R18" i="45"/>
  <c r="L59" i="45"/>
  <c r="L159" i="45"/>
  <c r="L225" i="45"/>
  <c r="I225" i="45"/>
  <c r="AI98" i="45" s="1"/>
  <c r="L223" i="45"/>
  <c r="I223" i="45"/>
  <c r="AI105" i="45" s="1"/>
  <c r="L130" i="45"/>
  <c r="I130" i="45"/>
  <c r="AI100" i="45" s="1"/>
  <c r="R140" i="45"/>
  <c r="L58" i="45"/>
  <c r="L61" i="45"/>
  <c r="I61" i="45"/>
  <c r="AI91" i="45" s="1"/>
  <c r="L222" i="45"/>
  <c r="I222" i="45"/>
  <c r="AI107" i="45" s="1"/>
  <c r="L91" i="45"/>
  <c r="I91" i="45"/>
  <c r="L125" i="45"/>
  <c r="L193" i="45"/>
  <c r="I193" i="45"/>
  <c r="R175" i="45"/>
  <c r="L233" i="45"/>
  <c r="I233" i="45"/>
  <c r="L224" i="45"/>
  <c r="I224" i="45"/>
  <c r="AI103" i="45" s="1"/>
  <c r="L194" i="45"/>
  <c r="I194" i="45"/>
  <c r="L144" i="45"/>
  <c r="I144" i="45"/>
  <c r="L191" i="45"/>
  <c r="I191" i="45"/>
  <c r="AI106" i="45" s="1"/>
  <c r="L148" i="45"/>
  <c r="I148" i="45"/>
  <c r="L83" i="45"/>
  <c r="R205" i="45"/>
  <c r="V211" i="45" s="1"/>
  <c r="L100" i="45"/>
  <c r="L90" i="45"/>
  <c r="L230" i="45"/>
  <c r="L228" i="45"/>
  <c r="L60" i="45"/>
  <c r="R79" i="45"/>
  <c r="AC11" i="45"/>
  <c r="AD11" i="45" s="1"/>
  <c r="AC7" i="45"/>
  <c r="AC10" i="45"/>
  <c r="AD10" i="45" s="1"/>
  <c r="R48" i="45"/>
  <c r="R116" i="45"/>
  <c r="R105" i="45"/>
  <c r="L85" i="45"/>
  <c r="L84" i="45"/>
  <c r="L229" i="45"/>
  <c r="R26" i="45"/>
  <c r="L181" i="45"/>
  <c r="L119" i="45"/>
  <c r="L180" i="45"/>
  <c r="Y12" i="45"/>
  <c r="Y17" i="45" s="1"/>
  <c r="W17" i="45"/>
  <c r="Y66" i="45"/>
  <c r="X42" i="45"/>
  <c r="AB17" i="45" s="1"/>
  <c r="AA12" i="45"/>
  <c r="Z44" i="45"/>
  <c r="R128" i="45"/>
  <c r="AB66" i="45"/>
  <c r="AA66" i="45"/>
  <c r="W54" i="45"/>
  <c r="X54" i="45" s="1"/>
  <c r="R56" i="45"/>
  <c r="L51" i="45"/>
  <c r="L89" i="45"/>
  <c r="L94" i="45"/>
  <c r="L155" i="45"/>
  <c r="L86" i="45"/>
  <c r="L182" i="45"/>
  <c r="L167" i="45"/>
  <c r="L88" i="45"/>
  <c r="L227" i="45"/>
  <c r="L168" i="45"/>
  <c r="L120" i="45"/>
  <c r="L146" i="45"/>
  <c r="L209" i="45"/>
  <c r="L145" i="45"/>
  <c r="AI149" i="45"/>
  <c r="L81" i="45"/>
  <c r="L149" i="45"/>
  <c r="L177" i="45"/>
  <c r="L183" i="45"/>
  <c r="L164" i="45"/>
  <c r="L179" i="45"/>
  <c r="L99" i="45"/>
  <c r="L154" i="45"/>
  <c r="L150" i="45"/>
  <c r="L112" i="45"/>
  <c r="L161" i="45"/>
  <c r="L215" i="45"/>
  <c r="L82" i="45"/>
  <c r="L163" i="45"/>
  <c r="L211" i="45"/>
  <c r="L152" i="45"/>
  <c r="L166" i="45"/>
  <c r="L118" i="45"/>
  <c r="L87" i="45"/>
  <c r="L42" i="45"/>
  <c r="L121" i="45"/>
  <c r="L107" i="45"/>
  <c r="L156" i="45"/>
  <c r="L208" i="45"/>
  <c r="R217" i="45"/>
  <c r="L165" i="45"/>
  <c r="L187" i="45"/>
  <c r="L101" i="45"/>
  <c r="L41" i="45"/>
  <c r="L143" i="45"/>
  <c r="L231" i="45"/>
  <c r="L232" i="45"/>
  <c r="L238" i="45"/>
  <c r="L147" i="45"/>
  <c r="L210" i="45"/>
  <c r="L196" i="45"/>
  <c r="L195" i="45"/>
  <c r="L192" i="45"/>
  <c r="L131" i="45"/>
  <c r="AI73" i="45"/>
  <c r="L173" i="45"/>
  <c r="L212" i="45"/>
  <c r="L95" i="45"/>
  <c r="L122" i="45"/>
  <c r="AI151" i="45"/>
  <c r="L102" i="45"/>
  <c r="AI65" i="45"/>
  <c r="AI168" i="45"/>
  <c r="L110" i="45"/>
  <c r="L28" i="45"/>
  <c r="B6" i="45"/>
  <c r="L169" i="45"/>
  <c r="AI166" i="45"/>
  <c r="L44" i="45"/>
  <c r="L239" i="45"/>
  <c r="L113" i="45"/>
  <c r="L213" i="45"/>
  <c r="L37" i="45"/>
  <c r="L114" i="45"/>
  <c r="L172" i="45"/>
  <c r="L236" i="45"/>
  <c r="L207" i="45"/>
  <c r="L162" i="45"/>
  <c r="L185" i="45"/>
  <c r="L158" i="45"/>
  <c r="L157" i="45"/>
  <c r="L36" i="45"/>
  <c r="L54" i="45"/>
  <c r="L34" i="45"/>
  <c r="AI55" i="45"/>
  <c r="L93" i="45"/>
  <c r="L103" i="45"/>
  <c r="L124" i="45"/>
  <c r="AI62" i="45"/>
  <c r="L151" i="45"/>
  <c r="L126" i="45"/>
  <c r="L153" i="45"/>
  <c r="L184" i="45"/>
  <c r="L123" i="45"/>
  <c r="L186" i="45"/>
  <c r="L108" i="45"/>
  <c r="L52" i="45"/>
  <c r="AI69" i="45"/>
  <c r="L220" i="45"/>
  <c r="L109" i="45"/>
  <c r="AI51" i="45"/>
  <c r="L45" i="45"/>
  <c r="L170" i="45"/>
  <c r="AI61" i="45"/>
  <c r="AI67" i="45"/>
  <c r="AI84" i="45"/>
  <c r="L50" i="45"/>
  <c r="L35" i="45"/>
  <c r="AI85" i="45"/>
  <c r="AI58" i="45"/>
  <c r="L237" i="45"/>
  <c r="AI70" i="45"/>
  <c r="AI56" i="45"/>
  <c r="L214" i="45"/>
  <c r="L160" i="45"/>
  <c r="L43" i="45"/>
  <c r="D6" i="45"/>
  <c r="L53" i="45"/>
  <c r="L221" i="45"/>
  <c r="AI78" i="45"/>
  <c r="AI53" i="45"/>
  <c r="L171" i="45"/>
  <c r="L235" i="45"/>
  <c r="AI167" i="45"/>
  <c r="AI163" i="45"/>
  <c r="AI162" i="45"/>
  <c r="AI150" i="45"/>
  <c r="AI76" i="45"/>
  <c r="AI68" i="45"/>
  <c r="AI63" i="45"/>
  <c r="AI82" i="45"/>
  <c r="AI57" i="45"/>
  <c r="AI87" i="45"/>
  <c r="AI83" i="45"/>
  <c r="AI72" i="45"/>
  <c r="AI66" i="45"/>
  <c r="AI79" i="45"/>
  <c r="AI71" i="45"/>
  <c r="AI59" i="45"/>
  <c r="AI52" i="45"/>
  <c r="AI64" i="45"/>
  <c r="AI60" i="45"/>
  <c r="AI54" i="45"/>
  <c r="AI50" i="45"/>
  <c r="L30" i="45"/>
  <c r="L12" i="44"/>
  <c r="L13" i="44"/>
  <c r="L15" i="44"/>
  <c r="L16" i="44"/>
  <c r="N116" i="44"/>
  <c r="N117" i="44"/>
  <c r="R17" i="44"/>
  <c r="S13" i="44"/>
  <c r="V64" i="44"/>
  <c r="V63" i="44"/>
  <c r="V62" i="44"/>
  <c r="V61" i="44"/>
  <c r="V60" i="44"/>
  <c r="V59" i="44"/>
  <c r="V58" i="44"/>
  <c r="V57" i="44"/>
  <c r="V56" i="44"/>
  <c r="V55" i="44"/>
  <c r="V54" i="44"/>
  <c r="V53" i="44"/>
  <c r="V52" i="44"/>
  <c r="V51" i="44"/>
  <c r="V50" i="44"/>
  <c r="U64" i="44"/>
  <c r="U63" i="44"/>
  <c r="U62" i="44"/>
  <c r="U61" i="44"/>
  <c r="U60" i="44"/>
  <c r="U59" i="44"/>
  <c r="U58" i="44"/>
  <c r="U57" i="44"/>
  <c r="U56" i="44"/>
  <c r="U55" i="44"/>
  <c r="U54" i="44"/>
  <c r="U53" i="44"/>
  <c r="U52" i="44"/>
  <c r="U51" i="44"/>
  <c r="U50" i="44"/>
  <c r="T64" i="44"/>
  <c r="S64" i="44" s="1"/>
  <c r="T63" i="44"/>
  <c r="T62" i="44"/>
  <c r="T61" i="44"/>
  <c r="T59" i="44"/>
  <c r="T58" i="44"/>
  <c r="T55" i="44"/>
  <c r="T54" i="44"/>
  <c r="T53" i="44"/>
  <c r="T52" i="44"/>
  <c r="T50" i="44"/>
  <c r="W40" i="44"/>
  <c r="W39" i="44"/>
  <c r="W38" i="44"/>
  <c r="W37" i="44"/>
  <c r="W36" i="44"/>
  <c r="W35" i="44"/>
  <c r="W34" i="44"/>
  <c r="W33" i="44"/>
  <c r="W32" i="44"/>
  <c r="W31" i="44"/>
  <c r="W30" i="44"/>
  <c r="W29" i="44"/>
  <c r="W28" i="44"/>
  <c r="W27" i="44"/>
  <c r="W26" i="44"/>
  <c r="V40" i="44"/>
  <c r="V39" i="44"/>
  <c r="V38" i="44"/>
  <c r="V37" i="44"/>
  <c r="V36" i="44"/>
  <c r="V35" i="44"/>
  <c r="V34" i="44"/>
  <c r="V33" i="44"/>
  <c r="V32" i="44"/>
  <c r="V31" i="44"/>
  <c r="V30" i="44"/>
  <c r="V29" i="44"/>
  <c r="V28" i="44"/>
  <c r="V27" i="44"/>
  <c r="V26" i="44"/>
  <c r="U40" i="44"/>
  <c r="U39" i="44"/>
  <c r="U38" i="44"/>
  <c r="U37" i="44"/>
  <c r="U36" i="44"/>
  <c r="U35" i="44"/>
  <c r="U34" i="44"/>
  <c r="U33" i="44"/>
  <c r="U32" i="44"/>
  <c r="U31" i="44"/>
  <c r="U30" i="44"/>
  <c r="U29" i="44"/>
  <c r="U28" i="44"/>
  <c r="U27" i="44"/>
  <c r="U26" i="44"/>
  <c r="T40" i="44"/>
  <c r="T39" i="44"/>
  <c r="T38" i="44"/>
  <c r="T37" i="44"/>
  <c r="T36" i="44"/>
  <c r="T35" i="44"/>
  <c r="T34" i="44"/>
  <c r="T33" i="44"/>
  <c r="T32" i="44"/>
  <c r="T31" i="44"/>
  <c r="T29" i="44"/>
  <c r="T28" i="44"/>
  <c r="T27" i="44"/>
  <c r="T26" i="44"/>
  <c r="S40" i="44"/>
  <c r="S39" i="44"/>
  <c r="S38" i="44"/>
  <c r="S37" i="44"/>
  <c r="S36" i="44"/>
  <c r="S35" i="44"/>
  <c r="E216" i="44"/>
  <c r="N216" i="44"/>
  <c r="E188" i="44"/>
  <c r="N188" i="44"/>
  <c r="E189" i="44"/>
  <c r="N189" i="44"/>
  <c r="E174" i="44"/>
  <c r="N174" i="44"/>
  <c r="E175" i="44"/>
  <c r="N175" i="44"/>
  <c r="E128" i="44"/>
  <c r="N128" i="44"/>
  <c r="E65" i="44"/>
  <c r="E66" i="44"/>
  <c r="E63" i="44"/>
  <c r="E64" i="44"/>
  <c r="N242" i="44"/>
  <c r="N241" i="44"/>
  <c r="E241" i="44"/>
  <c r="N240" i="44"/>
  <c r="E240" i="44"/>
  <c r="N239" i="44"/>
  <c r="E239" i="44"/>
  <c r="N238" i="44"/>
  <c r="E238" i="44"/>
  <c r="N237" i="44"/>
  <c r="E237" i="44"/>
  <c r="N236" i="44"/>
  <c r="E236" i="44"/>
  <c r="N235" i="44"/>
  <c r="E235" i="44"/>
  <c r="N234" i="44"/>
  <c r="G234" i="44"/>
  <c r="E234" i="44"/>
  <c r="N233" i="44"/>
  <c r="G233" i="44"/>
  <c r="E233" i="44"/>
  <c r="N232" i="44"/>
  <c r="G232" i="44"/>
  <c r="E232" i="44"/>
  <c r="N231" i="44"/>
  <c r="G231" i="44"/>
  <c r="E231" i="44"/>
  <c r="N230" i="44"/>
  <c r="G230" i="44"/>
  <c r="E230" i="44"/>
  <c r="N229" i="44"/>
  <c r="G229" i="44"/>
  <c r="E229" i="44"/>
  <c r="N228" i="44"/>
  <c r="G228" i="44"/>
  <c r="E228" i="44"/>
  <c r="N227" i="44"/>
  <c r="L227" i="44"/>
  <c r="G227" i="44"/>
  <c r="E227" i="44"/>
  <c r="N226" i="44"/>
  <c r="L226" i="44"/>
  <c r="G226" i="44"/>
  <c r="E226" i="44"/>
  <c r="N225" i="44"/>
  <c r="V8" i="44" s="1"/>
  <c r="G225" i="44"/>
  <c r="E225" i="44"/>
  <c r="U8" i="44" s="1"/>
  <c r="N224" i="44"/>
  <c r="G224" i="44"/>
  <c r="E224" i="44"/>
  <c r="N223" i="44"/>
  <c r="L223" i="44"/>
  <c r="G223" i="44"/>
  <c r="E223" i="44"/>
  <c r="N219" i="44"/>
  <c r="E219" i="44"/>
  <c r="N218" i="44"/>
  <c r="E218" i="44"/>
  <c r="N217" i="44"/>
  <c r="E217" i="44"/>
  <c r="N215" i="44"/>
  <c r="E215" i="44"/>
  <c r="N214" i="44"/>
  <c r="E214" i="44"/>
  <c r="G202" i="44"/>
  <c r="E202" i="44"/>
  <c r="G201" i="44"/>
  <c r="E201" i="44"/>
  <c r="N200" i="44"/>
  <c r="G200" i="44"/>
  <c r="E200" i="44"/>
  <c r="N199" i="44"/>
  <c r="G199" i="44"/>
  <c r="E199" i="44"/>
  <c r="N198" i="44"/>
  <c r="G198" i="44"/>
  <c r="E198" i="44"/>
  <c r="N197" i="44"/>
  <c r="G197" i="44"/>
  <c r="E197" i="44"/>
  <c r="N196" i="44"/>
  <c r="G196" i="44"/>
  <c r="E196" i="44"/>
  <c r="N195" i="44"/>
  <c r="G195" i="44"/>
  <c r="E195" i="44"/>
  <c r="N191" i="44"/>
  <c r="E191" i="44"/>
  <c r="N190" i="44"/>
  <c r="E190" i="44"/>
  <c r="N187" i="44"/>
  <c r="E187" i="44"/>
  <c r="N186" i="44"/>
  <c r="E186" i="44"/>
  <c r="N185" i="44"/>
  <c r="E185" i="44"/>
  <c r="N184" i="44"/>
  <c r="E184" i="44"/>
  <c r="N183" i="44"/>
  <c r="E183" i="44"/>
  <c r="N182" i="44"/>
  <c r="N181" i="44"/>
  <c r="G181" i="44"/>
  <c r="E181" i="44"/>
  <c r="N177" i="44"/>
  <c r="E177" i="44"/>
  <c r="N176" i="44"/>
  <c r="E176" i="44"/>
  <c r="N173" i="44"/>
  <c r="E173" i="44"/>
  <c r="N172" i="44"/>
  <c r="E172" i="44"/>
  <c r="N171" i="44"/>
  <c r="E171" i="44"/>
  <c r="N170" i="44"/>
  <c r="E170" i="44"/>
  <c r="N169" i="44"/>
  <c r="E169" i="44"/>
  <c r="N168" i="44"/>
  <c r="E168" i="44"/>
  <c r="N167" i="44"/>
  <c r="E167" i="44"/>
  <c r="N166" i="44"/>
  <c r="E166" i="44"/>
  <c r="AC174" i="44"/>
  <c r="AI11" i="44" s="1"/>
  <c r="AK11" i="44" s="1"/>
  <c r="AL11" i="44" s="1"/>
  <c r="N165" i="44"/>
  <c r="E165" i="44"/>
  <c r="Z173" i="44"/>
  <c r="N164" i="44"/>
  <c r="E164" i="44"/>
  <c r="Z172" i="44"/>
  <c r="N163" i="44"/>
  <c r="E163" i="44"/>
  <c r="Z171" i="44"/>
  <c r="N162" i="44"/>
  <c r="E162" i="44"/>
  <c r="Z170" i="44"/>
  <c r="N161" i="44"/>
  <c r="E161" i="44"/>
  <c r="Z169" i="44"/>
  <c r="N160" i="44"/>
  <c r="E160" i="44"/>
  <c r="Z168" i="44"/>
  <c r="N159" i="44"/>
  <c r="E159" i="44"/>
  <c r="Z167" i="44"/>
  <c r="N158" i="44"/>
  <c r="E158" i="44"/>
  <c r="Z166" i="44"/>
  <c r="N157" i="44"/>
  <c r="E157" i="44"/>
  <c r="Z165" i="44"/>
  <c r="N156" i="44"/>
  <c r="E156" i="44"/>
  <c r="Z164" i="44"/>
  <c r="N155" i="44"/>
  <c r="E155" i="44"/>
  <c r="Z163" i="44"/>
  <c r="N154" i="44"/>
  <c r="E154" i="44"/>
  <c r="Z162" i="44"/>
  <c r="N153" i="44"/>
  <c r="E153" i="44"/>
  <c r="N152" i="44"/>
  <c r="E152" i="44"/>
  <c r="N151" i="44"/>
  <c r="E151" i="44"/>
  <c r="N150" i="44"/>
  <c r="E150" i="44"/>
  <c r="N149" i="44"/>
  <c r="G149" i="44"/>
  <c r="E149" i="44"/>
  <c r="N148" i="44"/>
  <c r="G148" i="44"/>
  <c r="E148" i="44"/>
  <c r="Z156" i="44"/>
  <c r="AB156" i="44" s="1"/>
  <c r="N147" i="44"/>
  <c r="G147" i="44"/>
  <c r="E147" i="44"/>
  <c r="Z155" i="44"/>
  <c r="AB155" i="44" s="1"/>
  <c r="N146" i="44"/>
  <c r="G146" i="44"/>
  <c r="E146" i="44"/>
  <c r="Z154" i="44"/>
  <c r="AB154" i="44" s="1"/>
  <c r="AC152" i="44"/>
  <c r="AI9" i="44" s="1"/>
  <c r="AK9" i="44" s="1"/>
  <c r="AL9" i="44" s="1"/>
  <c r="Z151" i="44"/>
  <c r="Z150" i="44"/>
  <c r="Z149" i="44"/>
  <c r="Z148" i="44"/>
  <c r="AB148" i="44" s="1"/>
  <c r="N138" i="44"/>
  <c r="G138" i="44"/>
  <c r="E138" i="44"/>
  <c r="Z147" i="44"/>
  <c r="AB147" i="44" s="1"/>
  <c r="N137" i="44"/>
  <c r="G137" i="44"/>
  <c r="E137" i="44"/>
  <c r="Z146" i="44"/>
  <c r="AB146" i="44" s="1"/>
  <c r="N136" i="44"/>
  <c r="G136" i="44"/>
  <c r="E136" i="44"/>
  <c r="Z145" i="44"/>
  <c r="AB145" i="44" s="1"/>
  <c r="N135" i="44"/>
  <c r="G135" i="44"/>
  <c r="E135" i="44"/>
  <c r="Z144" i="44"/>
  <c r="AB144" i="44" s="1"/>
  <c r="N134" i="44"/>
  <c r="G134" i="44"/>
  <c r="E134" i="44"/>
  <c r="Z143" i="44"/>
  <c r="AB143" i="44" s="1"/>
  <c r="Z142" i="44"/>
  <c r="AB142" i="44" s="1"/>
  <c r="Z141" i="44"/>
  <c r="AB141" i="44" s="1"/>
  <c r="Z140" i="44"/>
  <c r="AB140" i="44" s="1"/>
  <c r="Z139" i="44"/>
  <c r="AB139" i="44" s="1"/>
  <c r="Z138" i="44"/>
  <c r="AB138" i="44" s="1"/>
  <c r="Z137" i="44"/>
  <c r="AB137" i="44" s="1"/>
  <c r="N130" i="44"/>
  <c r="E130" i="44"/>
  <c r="Z136" i="44"/>
  <c r="AB136" i="44" s="1"/>
  <c r="N129" i="44"/>
  <c r="E129" i="44"/>
  <c r="Z135" i="44"/>
  <c r="AB135" i="44" s="1"/>
  <c r="N127" i="44"/>
  <c r="E127" i="44"/>
  <c r="Z134" i="44"/>
  <c r="AB134" i="44" s="1"/>
  <c r="N126" i="44"/>
  <c r="E126" i="44"/>
  <c r="Z133" i="44"/>
  <c r="AB133" i="44" s="1"/>
  <c r="N125" i="44"/>
  <c r="E125" i="44"/>
  <c r="Z132" i="44"/>
  <c r="AB132" i="44" s="1"/>
  <c r="N124" i="44"/>
  <c r="E124" i="44"/>
  <c r="N123" i="44"/>
  <c r="G123" i="44"/>
  <c r="E123" i="44"/>
  <c r="AC130" i="44"/>
  <c r="AI7" i="44" s="1"/>
  <c r="AK7" i="44" s="1"/>
  <c r="AL7" i="44" s="1"/>
  <c r="N122" i="44"/>
  <c r="G122" i="44"/>
  <c r="E122" i="44"/>
  <c r="Z129" i="44"/>
  <c r="Z128" i="44"/>
  <c r="AB128" i="44" s="1"/>
  <c r="Z127" i="44"/>
  <c r="AB127" i="44" s="1"/>
  <c r="Z126" i="44"/>
  <c r="AB126" i="44" s="1"/>
  <c r="Z125" i="44"/>
  <c r="AB125" i="44" s="1"/>
  <c r="Z124" i="44"/>
  <c r="AB124" i="44" s="1"/>
  <c r="Z123" i="44"/>
  <c r="AB123" i="44" s="1"/>
  <c r="N118" i="44"/>
  <c r="E118" i="44"/>
  <c r="Z122" i="44"/>
  <c r="AB122" i="44" s="1"/>
  <c r="E117" i="44"/>
  <c r="Z121" i="44"/>
  <c r="AB121" i="44" s="1"/>
  <c r="E116" i="44"/>
  <c r="Z120" i="44"/>
  <c r="AB120" i="44" s="1"/>
  <c r="N115" i="44"/>
  <c r="E115" i="44"/>
  <c r="Z119" i="44"/>
  <c r="AB119" i="44" s="1"/>
  <c r="N114" i="44"/>
  <c r="E114" i="44"/>
  <c r="Z118" i="44"/>
  <c r="AB118" i="44" s="1"/>
  <c r="N113" i="44"/>
  <c r="E113" i="44"/>
  <c r="Z117" i="44"/>
  <c r="AB117" i="44" s="1"/>
  <c r="N112" i="44"/>
  <c r="E112" i="44"/>
  <c r="Z116" i="44"/>
  <c r="AB116" i="44" s="1"/>
  <c r="N111" i="44"/>
  <c r="G111" i="44"/>
  <c r="E111" i="44"/>
  <c r="Z115" i="44"/>
  <c r="AB115" i="44" s="1"/>
  <c r="Z114" i="44"/>
  <c r="AB114" i="44" s="1"/>
  <c r="Z113" i="44"/>
  <c r="AB113" i="44" s="1"/>
  <c r="Z112" i="44"/>
  <c r="AB112" i="44" s="1"/>
  <c r="Z111" i="44"/>
  <c r="AB111" i="44" s="1"/>
  <c r="Z110" i="44"/>
  <c r="AB110" i="44" s="1"/>
  <c r="G107" i="44"/>
  <c r="E107" i="44"/>
  <c r="AC108" i="44"/>
  <c r="AI5" i="44" s="1"/>
  <c r="AK5" i="44" s="1"/>
  <c r="AL5" i="44" s="1"/>
  <c r="G106" i="44"/>
  <c r="E106" i="44"/>
  <c r="Z107" i="44"/>
  <c r="G105" i="44"/>
  <c r="E105" i="44"/>
  <c r="Z106" i="44"/>
  <c r="N104" i="44"/>
  <c r="G104" i="44"/>
  <c r="E104" i="44"/>
  <c r="N103" i="44"/>
  <c r="G103" i="44"/>
  <c r="E103" i="44"/>
  <c r="E99" i="44"/>
  <c r="E93" i="44"/>
  <c r="E92" i="44"/>
  <c r="E91" i="44"/>
  <c r="E90" i="44"/>
  <c r="E89" i="44"/>
  <c r="G88" i="44"/>
  <c r="E88" i="44"/>
  <c r="G87" i="44"/>
  <c r="E87" i="44"/>
  <c r="N86" i="44"/>
  <c r="G86" i="44"/>
  <c r="E86" i="44"/>
  <c r="N85" i="44"/>
  <c r="G85" i="44"/>
  <c r="E85" i="44"/>
  <c r="G62" i="44"/>
  <c r="E62" i="44"/>
  <c r="Z80" i="44"/>
  <c r="G61" i="44"/>
  <c r="E61" i="44"/>
  <c r="Z79" i="44"/>
  <c r="G60" i="44"/>
  <c r="E60" i="44"/>
  <c r="Z78" i="44"/>
  <c r="G59" i="44"/>
  <c r="E59" i="44"/>
  <c r="Z77" i="44"/>
  <c r="N58" i="44"/>
  <c r="G58" i="44"/>
  <c r="E58" i="44"/>
  <c r="Z76" i="44"/>
  <c r="Z75" i="44"/>
  <c r="Z74" i="44"/>
  <c r="Z73" i="44"/>
  <c r="Z72" i="44"/>
  <c r="Z71" i="44"/>
  <c r="Z70" i="44"/>
  <c r="N54" i="44"/>
  <c r="G54" i="44"/>
  <c r="E54" i="44"/>
  <c r="Z69" i="44"/>
  <c r="N53" i="44"/>
  <c r="G53" i="44"/>
  <c r="E53" i="44"/>
  <c r="Z68" i="44"/>
  <c r="G52" i="44"/>
  <c r="E52" i="44"/>
  <c r="Z67" i="44"/>
  <c r="N51" i="44"/>
  <c r="G51" i="44"/>
  <c r="E51" i="44"/>
  <c r="Z66" i="44"/>
  <c r="N50" i="44"/>
  <c r="G50" i="44"/>
  <c r="E50" i="44"/>
  <c r="Z65" i="44"/>
  <c r="Z64" i="44"/>
  <c r="Z63" i="44"/>
  <c r="Z62" i="44"/>
  <c r="Z61" i="44"/>
  <c r="Z60" i="44"/>
  <c r="Z59" i="44"/>
  <c r="Z58" i="44"/>
  <c r="N45" i="44"/>
  <c r="E45" i="44"/>
  <c r="Z57" i="44"/>
  <c r="N44" i="44"/>
  <c r="G44" i="44"/>
  <c r="E44" i="44"/>
  <c r="Z56" i="44"/>
  <c r="N43" i="44"/>
  <c r="G43" i="44"/>
  <c r="E43" i="44"/>
  <c r="Z55" i="44"/>
  <c r="N42" i="44"/>
  <c r="G42" i="44"/>
  <c r="E42" i="44"/>
  <c r="Z54" i="44"/>
  <c r="N41" i="44"/>
  <c r="G41" i="44"/>
  <c r="E41" i="44"/>
  <c r="Z53" i="44"/>
  <c r="Z52" i="44"/>
  <c r="Z51" i="44"/>
  <c r="Z50" i="44"/>
  <c r="Z49" i="44"/>
  <c r="Z48" i="44"/>
  <c r="Z47" i="44"/>
  <c r="N37" i="44"/>
  <c r="E37" i="44"/>
  <c r="Z46" i="44"/>
  <c r="Z45" i="44"/>
  <c r="Z44" i="44"/>
  <c r="Z43" i="44"/>
  <c r="AB43" i="44" s="1"/>
  <c r="N33" i="44"/>
  <c r="L33" i="44"/>
  <c r="G33" i="44"/>
  <c r="E33" i="44"/>
  <c r="Z42" i="44"/>
  <c r="AB42" i="44" s="1"/>
  <c r="N32" i="44"/>
  <c r="L32" i="44"/>
  <c r="G32" i="44"/>
  <c r="E32" i="44"/>
  <c r="Z41" i="44"/>
  <c r="AB41" i="44" s="1"/>
  <c r="N31" i="44"/>
  <c r="L31" i="44"/>
  <c r="G31" i="44"/>
  <c r="E31" i="44"/>
  <c r="Z40" i="44"/>
  <c r="AB40" i="44" s="1"/>
  <c r="N30" i="44"/>
  <c r="G30" i="44"/>
  <c r="E30" i="44"/>
  <c r="Z39" i="44"/>
  <c r="AB39" i="44" s="1"/>
  <c r="N29" i="44"/>
  <c r="L29" i="44"/>
  <c r="G29" i="44"/>
  <c r="E29" i="44"/>
  <c r="Z38" i="44"/>
  <c r="AB38" i="44" s="1"/>
  <c r="N28" i="44"/>
  <c r="G28" i="44"/>
  <c r="E28" i="44"/>
  <c r="Z37" i="44"/>
  <c r="AB37" i="44" s="1"/>
  <c r="Z36" i="44"/>
  <c r="AB36" i="44" s="1"/>
  <c r="Z35" i="44"/>
  <c r="AB35" i="44" s="1"/>
  <c r="Z34" i="44"/>
  <c r="AB34" i="44" s="1"/>
  <c r="Z33" i="44"/>
  <c r="AB33" i="44" s="1"/>
  <c r="Z32" i="44"/>
  <c r="AB32" i="44" s="1"/>
  <c r="Z31" i="44"/>
  <c r="AB31" i="44" s="1"/>
  <c r="N24" i="44"/>
  <c r="L24" i="44"/>
  <c r="G24" i="44"/>
  <c r="E24" i="44"/>
  <c r="Z30" i="44"/>
  <c r="AB30" i="44" s="1"/>
  <c r="N23" i="44"/>
  <c r="L23" i="44"/>
  <c r="G23" i="44"/>
  <c r="E23" i="44"/>
  <c r="Z29" i="44"/>
  <c r="AB29" i="44" s="1"/>
  <c r="N22" i="44"/>
  <c r="L22" i="44"/>
  <c r="G22" i="44"/>
  <c r="E22" i="44"/>
  <c r="Z28" i="44"/>
  <c r="AB28" i="44" s="1"/>
  <c r="N21" i="44"/>
  <c r="L21" i="44"/>
  <c r="G21" i="44"/>
  <c r="E21" i="44"/>
  <c r="Z27" i="44"/>
  <c r="AB27" i="44" s="1"/>
  <c r="N20" i="44"/>
  <c r="L20" i="44"/>
  <c r="G20" i="44"/>
  <c r="E20" i="44"/>
  <c r="Z26" i="44"/>
  <c r="AB26" i="44" s="1"/>
  <c r="Z25" i="44"/>
  <c r="AB25" i="44" s="1"/>
  <c r="Z24" i="44"/>
  <c r="AB24" i="44" s="1"/>
  <c r="Z23" i="44"/>
  <c r="AB23" i="44" s="1"/>
  <c r="Z22" i="44"/>
  <c r="AB22" i="44" s="1"/>
  <c r="Z21" i="44"/>
  <c r="AB21" i="44" s="1"/>
  <c r="Z20" i="44"/>
  <c r="AB20" i="44" s="1"/>
  <c r="N16" i="44"/>
  <c r="G16" i="44"/>
  <c r="E16" i="44"/>
  <c r="Z19" i="44"/>
  <c r="AB19" i="44" s="1"/>
  <c r="N15" i="44"/>
  <c r="G15" i="44"/>
  <c r="E15" i="44"/>
  <c r="Z18" i="44"/>
  <c r="AB18" i="44" s="1"/>
  <c r="N14" i="44"/>
  <c r="L14" i="44"/>
  <c r="G14" i="44"/>
  <c r="E14" i="44"/>
  <c r="Z17" i="44"/>
  <c r="AB17" i="44" s="1"/>
  <c r="N13" i="44"/>
  <c r="G13" i="44"/>
  <c r="E13" i="44"/>
  <c r="Z16" i="44"/>
  <c r="AB16" i="44" s="1"/>
  <c r="N12" i="44"/>
  <c r="G12" i="44"/>
  <c r="E12" i="44"/>
  <c r="Z15" i="44"/>
  <c r="AB15" i="44" s="1"/>
  <c r="Z14" i="44"/>
  <c r="AB14" i="44" s="1"/>
  <c r="Z13" i="44"/>
  <c r="AB13" i="44" s="1"/>
  <c r="Z12" i="44"/>
  <c r="AB12" i="44" s="1"/>
  <c r="Z11" i="44"/>
  <c r="AB11" i="44" s="1"/>
  <c r="Z10" i="44"/>
  <c r="AB10" i="44" s="1"/>
  <c r="Z9" i="44"/>
  <c r="AB9" i="44" s="1"/>
  <c r="Z8" i="44"/>
  <c r="AB8" i="44" s="1"/>
  <c r="Z7" i="44"/>
  <c r="AB7" i="44" s="1"/>
  <c r="Z6" i="44"/>
  <c r="AB6" i="44" s="1"/>
  <c r="Z5" i="44"/>
  <c r="AA80" i="45" a="1"/>
  <c r="AA77" i="45" a="1"/>
  <c r="Y77" i="45" a="1"/>
  <c r="Y80" i="45" a="1"/>
  <c r="X80" i="45" a="1"/>
  <c r="X77" i="45" a="1"/>
  <c r="X77" i="45" l="1"/>
  <c r="X79" i="45" s="1"/>
  <c r="X80" i="45"/>
  <c r="AA77" i="45"/>
  <c r="AA80" i="45"/>
  <c r="Y77" i="45"/>
  <c r="Y79" i="45" s="1"/>
  <c r="Y80" i="45"/>
  <c r="AC8" i="45"/>
  <c r="AD8" i="45" s="1"/>
  <c r="AA17" i="45"/>
  <c r="V20" i="45" s="1"/>
  <c r="X66" i="45"/>
  <c r="V7" i="44"/>
  <c r="V9" i="44"/>
  <c r="H35" i="44"/>
  <c r="U7" i="44"/>
  <c r="H243" i="44"/>
  <c r="I243" i="44" s="1"/>
  <c r="H212" i="44"/>
  <c r="H244" i="44"/>
  <c r="I244" i="44" s="1"/>
  <c r="H211" i="44"/>
  <c r="U9" i="44"/>
  <c r="U6" i="44"/>
  <c r="AM21" i="44"/>
  <c r="AM19" i="44" s="1"/>
  <c r="V6" i="44"/>
  <c r="U10" i="44"/>
  <c r="V10" i="44"/>
  <c r="V11" i="44"/>
  <c r="I35" i="44"/>
  <c r="L35" i="44"/>
  <c r="AA75" i="45"/>
  <c r="AA72" i="45" s="1"/>
  <c r="Q194" i="45"/>
  <c r="Q195" i="45" s="1"/>
  <c r="Q196" i="45" s="1"/>
  <c r="Y75" i="45"/>
  <c r="Y72" i="45" s="1"/>
  <c r="N58" i="45"/>
  <c r="X75" i="45"/>
  <c r="X72" i="45" s="1"/>
  <c r="M22" i="45"/>
  <c r="H252" i="44"/>
  <c r="H245" i="44"/>
  <c r="H249" i="44"/>
  <c r="H256" i="44"/>
  <c r="H253" i="44"/>
  <c r="H254" i="44"/>
  <c r="H248" i="44"/>
  <c r="H257" i="44"/>
  <c r="H247" i="44"/>
  <c r="H258" i="44"/>
  <c r="H250" i="44"/>
  <c r="H97" i="44"/>
  <c r="H259" i="44"/>
  <c r="H246" i="44"/>
  <c r="H251" i="44"/>
  <c r="H255" i="44"/>
  <c r="H260" i="44"/>
  <c r="E221" i="44"/>
  <c r="J221" i="44"/>
  <c r="Y80" i="44"/>
  <c r="AA80" i="44" s="1"/>
  <c r="Y78" i="44"/>
  <c r="AA78" i="44" s="1"/>
  <c r="Y94" i="44"/>
  <c r="AA94" i="44" s="1"/>
  <c r="Y88" i="44"/>
  <c r="AA88" i="44" s="1"/>
  <c r="Y93" i="44"/>
  <c r="AA93" i="44" s="1"/>
  <c r="Y87" i="44"/>
  <c r="AA87" i="44" s="1"/>
  <c r="Y96" i="44"/>
  <c r="AA96" i="44" s="1"/>
  <c r="Y90" i="44"/>
  <c r="AA90" i="44" s="1"/>
  <c r="Y83" i="44"/>
  <c r="AA83" i="44" s="1"/>
  <c r="Y159" i="44"/>
  <c r="AA159" i="44" s="1"/>
  <c r="Y101" i="44"/>
  <c r="AA101" i="44" s="1"/>
  <c r="Y99" i="44"/>
  <c r="AA99" i="44" s="1"/>
  <c r="Y92" i="44"/>
  <c r="AA92" i="44" s="1"/>
  <c r="Y98" i="44"/>
  <c r="AA98" i="44" s="1"/>
  <c r="Y161" i="44"/>
  <c r="AA161" i="44" s="1"/>
  <c r="Y82" i="44"/>
  <c r="AA82" i="44" s="1"/>
  <c r="Y103" i="44"/>
  <c r="AA103" i="44" s="1"/>
  <c r="Y91" i="44"/>
  <c r="AA91" i="44" s="1"/>
  <c r="Y102" i="44"/>
  <c r="AA102" i="44" s="1"/>
  <c r="Y97" i="44"/>
  <c r="AA97" i="44" s="1"/>
  <c r="Y85" i="44"/>
  <c r="AA85" i="44" s="1"/>
  <c r="Y105" i="44"/>
  <c r="AA105" i="44" s="1"/>
  <c r="Y160" i="44"/>
  <c r="AA160" i="44" s="1"/>
  <c r="Y81" i="44"/>
  <c r="AA81" i="44" s="1"/>
  <c r="Y95" i="44"/>
  <c r="AA95" i="44" s="1"/>
  <c r="Y89" i="44"/>
  <c r="AA89" i="44" s="1"/>
  <c r="Y158" i="44"/>
  <c r="AA158" i="44" s="1"/>
  <c r="Y84" i="44"/>
  <c r="AA84" i="44" s="1"/>
  <c r="Y104" i="44"/>
  <c r="AA104" i="44" s="1"/>
  <c r="Y100" i="44"/>
  <c r="AA100" i="44" s="1"/>
  <c r="Y86" i="44"/>
  <c r="AA86" i="44" s="1"/>
  <c r="Y79" i="44"/>
  <c r="AA79" i="44" s="1"/>
  <c r="J6" i="45"/>
  <c r="AC12" i="45"/>
  <c r="W61" i="45"/>
  <c r="V66" i="45" s="1"/>
  <c r="Z66" i="45"/>
  <c r="Q37" i="44"/>
  <c r="T42" i="44"/>
  <c r="W8" i="44"/>
  <c r="AI13" i="44"/>
  <c r="AK13" i="44" s="1"/>
  <c r="Q28" i="44"/>
  <c r="E6" i="45"/>
  <c r="Q27" i="44"/>
  <c r="Q35" i="44"/>
  <c r="Q36" i="44"/>
  <c r="Q39" i="44"/>
  <c r="Q34" i="44"/>
  <c r="Q26" i="44"/>
  <c r="Q29" i="44"/>
  <c r="Q38" i="44"/>
  <c r="Q33" i="44"/>
  <c r="Q41" i="44"/>
  <c r="R32" i="44"/>
  <c r="Q32" i="44" s="1"/>
  <c r="R30" i="44"/>
  <c r="Q30" i="44" s="1"/>
  <c r="R31" i="44"/>
  <c r="Q31" i="44" s="1"/>
  <c r="H236" i="44"/>
  <c r="I236" i="44" s="1"/>
  <c r="H185" i="44"/>
  <c r="I185" i="44" s="1"/>
  <c r="H153" i="44"/>
  <c r="I153" i="44" s="1"/>
  <c r="H161" i="44"/>
  <c r="I161" i="44" s="1"/>
  <c r="H169" i="44"/>
  <c r="I169" i="44" s="1"/>
  <c r="H177" i="44"/>
  <c r="I177" i="44" s="1"/>
  <c r="H116" i="44"/>
  <c r="I116" i="44" s="1"/>
  <c r="H45" i="44"/>
  <c r="I45" i="44" s="1"/>
  <c r="H117" i="44"/>
  <c r="I117" i="44" s="1"/>
  <c r="H81" i="44"/>
  <c r="I81" i="44" s="1"/>
  <c r="H112" i="44"/>
  <c r="I112" i="44" s="1"/>
  <c r="H37" i="44"/>
  <c r="I37" i="44" s="1"/>
  <c r="AB5" i="44"/>
  <c r="H73" i="44"/>
  <c r="I73" i="44" s="1"/>
  <c r="H128" i="44"/>
  <c r="I128" i="44" s="1"/>
  <c r="H204" i="44"/>
  <c r="I204" i="44" s="1"/>
  <c r="H142" i="44"/>
  <c r="I142" i="44" s="1"/>
  <c r="H241" i="44"/>
  <c r="I241" i="44" s="1"/>
  <c r="H216" i="44"/>
  <c r="I216" i="44" s="1"/>
  <c r="H96" i="44"/>
  <c r="I96" i="44" s="1"/>
  <c r="H159" i="44"/>
  <c r="I159" i="44" s="1"/>
  <c r="H74" i="44"/>
  <c r="I74" i="44" s="1"/>
  <c r="H141" i="44"/>
  <c r="I141" i="44" s="1"/>
  <c r="H156" i="44"/>
  <c r="I156" i="44" s="1"/>
  <c r="H78" i="44"/>
  <c r="I78" i="44" s="1"/>
  <c r="H215" i="44"/>
  <c r="I215" i="44" s="1"/>
  <c r="H174" i="44"/>
  <c r="I174" i="44" s="1"/>
  <c r="H218" i="44"/>
  <c r="I218" i="44" s="1"/>
  <c r="H139" i="44"/>
  <c r="I139" i="44" s="1"/>
  <c r="H205" i="44"/>
  <c r="I205" i="44" s="1"/>
  <c r="H167" i="44"/>
  <c r="I167" i="44" s="1"/>
  <c r="H191" i="44"/>
  <c r="I191" i="44" s="1"/>
  <c r="H176" i="44"/>
  <c r="I176" i="44" s="1"/>
  <c r="H151" i="44"/>
  <c r="I151" i="44" s="1"/>
  <c r="H115" i="44"/>
  <c r="I115" i="44" s="1"/>
  <c r="H164" i="44"/>
  <c r="I164" i="44" s="1"/>
  <c r="H92" i="44"/>
  <c r="I92" i="44" s="1"/>
  <c r="H240" i="44"/>
  <c r="I240" i="44" s="1"/>
  <c r="H130" i="44"/>
  <c r="I130" i="44" s="1"/>
  <c r="H238" i="44"/>
  <c r="I238" i="44" s="1"/>
  <c r="H187" i="44"/>
  <c r="I187" i="44" s="1"/>
  <c r="H171" i="44"/>
  <c r="I171" i="44" s="1"/>
  <c r="H163" i="44"/>
  <c r="I163" i="44" s="1"/>
  <c r="H173" i="44"/>
  <c r="I173" i="44" s="1"/>
  <c r="H188" i="44"/>
  <c r="I188" i="44" s="1"/>
  <c r="H239" i="44"/>
  <c r="I239" i="44" s="1"/>
  <c r="H219" i="44"/>
  <c r="I219" i="44" s="1"/>
  <c r="H152" i="44"/>
  <c r="I152" i="44" s="1"/>
  <c r="H126" i="44"/>
  <c r="I126" i="44" s="1"/>
  <c r="H160" i="44"/>
  <c r="I160" i="44" s="1"/>
  <c r="H77" i="44"/>
  <c r="I77" i="44" s="1"/>
  <c r="H76" i="44"/>
  <c r="I76" i="44" s="1"/>
  <c r="H190" i="44"/>
  <c r="I190" i="44" s="1"/>
  <c r="H166" i="44"/>
  <c r="I166" i="44" s="1"/>
  <c r="H186" i="44"/>
  <c r="I186" i="44" s="1"/>
  <c r="H124" i="44"/>
  <c r="I124" i="44" s="1"/>
  <c r="H214" i="44"/>
  <c r="I214" i="44" s="1"/>
  <c r="H95" i="44"/>
  <c r="I95" i="44" s="1"/>
  <c r="H168" i="44"/>
  <c r="I168" i="44" s="1"/>
  <c r="H79" i="44"/>
  <c r="I79" i="44" s="1"/>
  <c r="H99" i="44"/>
  <c r="I99" i="44" s="1"/>
  <c r="H98" i="44"/>
  <c r="H75" i="44"/>
  <c r="I75" i="44" s="1"/>
  <c r="H184" i="44"/>
  <c r="I184" i="44" s="1"/>
  <c r="H129" i="44"/>
  <c r="I129" i="44" s="1"/>
  <c r="H172" i="44"/>
  <c r="I172" i="44" s="1"/>
  <c r="H242" i="44"/>
  <c r="I242" i="44" s="1"/>
  <c r="H114" i="44"/>
  <c r="I114" i="44" s="1"/>
  <c r="H80" i="44"/>
  <c r="I80" i="44" s="1"/>
  <c r="H71" i="44"/>
  <c r="I71" i="44" s="1"/>
  <c r="H118" i="44"/>
  <c r="I118" i="44" s="1"/>
  <c r="H170" i="44"/>
  <c r="I170" i="44" s="1"/>
  <c r="H140" i="44"/>
  <c r="I140" i="44" s="1"/>
  <c r="H125" i="44"/>
  <c r="I125" i="44" s="1"/>
  <c r="H72" i="44"/>
  <c r="I72" i="44" s="1"/>
  <c r="H93" i="44"/>
  <c r="I93" i="44" s="1"/>
  <c r="H237" i="44"/>
  <c r="I237" i="44" s="1"/>
  <c r="H162" i="44"/>
  <c r="I162" i="44" s="1"/>
  <c r="H127" i="44"/>
  <c r="I127" i="44" s="1"/>
  <c r="H150" i="44"/>
  <c r="I150" i="44" s="1"/>
  <c r="H155" i="44"/>
  <c r="I155" i="44" s="1"/>
  <c r="H165" i="44"/>
  <c r="I165" i="44" s="1"/>
  <c r="H113" i="44"/>
  <c r="I113" i="44" s="1"/>
  <c r="H203" i="44"/>
  <c r="I203" i="44" s="1"/>
  <c r="H175" i="44"/>
  <c r="I175" i="44" s="1"/>
  <c r="H94" i="44"/>
  <c r="I94" i="44" s="1"/>
  <c r="H217" i="44"/>
  <c r="I217" i="44" s="1"/>
  <c r="H70" i="44"/>
  <c r="I70" i="44" s="1"/>
  <c r="H154" i="44"/>
  <c r="I154" i="44" s="1"/>
  <c r="H235" i="44"/>
  <c r="I235" i="44" s="1"/>
  <c r="H183" i="44"/>
  <c r="I183" i="44" s="1"/>
  <c r="H189" i="44"/>
  <c r="I189" i="44" s="1"/>
  <c r="H207" i="44"/>
  <c r="I207" i="44" s="1"/>
  <c r="H157" i="44"/>
  <c r="I157" i="44" s="1"/>
  <c r="H206" i="44"/>
  <c r="I206" i="44" s="1"/>
  <c r="H158" i="44"/>
  <c r="I158" i="44" s="1"/>
  <c r="S56" i="44"/>
  <c r="R56" i="44" s="1"/>
  <c r="Q56" i="44" s="1"/>
  <c r="H69" i="44"/>
  <c r="I69" i="44" s="1"/>
  <c r="H68" i="44"/>
  <c r="I68" i="44" s="1"/>
  <c r="H66" i="44"/>
  <c r="I66" i="44" s="1"/>
  <c r="H63" i="44"/>
  <c r="I63" i="44" s="1"/>
  <c r="H67" i="44"/>
  <c r="I67" i="44" s="1"/>
  <c r="H65" i="44"/>
  <c r="I65" i="44" s="1"/>
  <c r="H64" i="44"/>
  <c r="I64" i="44" s="1"/>
  <c r="H89" i="44"/>
  <c r="I89" i="44" s="1"/>
  <c r="H91" i="44"/>
  <c r="I91" i="44" s="1"/>
  <c r="H90" i="44"/>
  <c r="I90" i="44" s="1"/>
  <c r="E39" i="44"/>
  <c r="J39" i="44"/>
  <c r="J132" i="44"/>
  <c r="Y7" i="44"/>
  <c r="AA7" i="44" s="1"/>
  <c r="Y15" i="44"/>
  <c r="AA15" i="44" s="1"/>
  <c r="Y16" i="44"/>
  <c r="AA16" i="44" s="1"/>
  <c r="Y23" i="44"/>
  <c r="AA23" i="44" s="1"/>
  <c r="Y11" i="44"/>
  <c r="AA11" i="44" s="1"/>
  <c r="Y17" i="44"/>
  <c r="AA17" i="44" s="1"/>
  <c r="Y26" i="44"/>
  <c r="AA26" i="44" s="1"/>
  <c r="Y30" i="44"/>
  <c r="AA30" i="44" s="1"/>
  <c r="Y40" i="44"/>
  <c r="AA40" i="44" s="1"/>
  <c r="Y48" i="44"/>
  <c r="AA48" i="44" s="1"/>
  <c r="Y76" i="44"/>
  <c r="AA76" i="44" s="1"/>
  <c r="Y107" i="44"/>
  <c r="AA107" i="44" s="1"/>
  <c r="Y110" i="44"/>
  <c r="AA110" i="44" s="1"/>
  <c r="Y128" i="44"/>
  <c r="AA128" i="44" s="1"/>
  <c r="Y133" i="44"/>
  <c r="AA133" i="44" s="1"/>
  <c r="Y135" i="44"/>
  <c r="AA135" i="44" s="1"/>
  <c r="Y137" i="44"/>
  <c r="AA137" i="44" s="1"/>
  <c r="Y150" i="44"/>
  <c r="AA150" i="44" s="1"/>
  <c r="Y12" i="44"/>
  <c r="AA12" i="44" s="1"/>
  <c r="Y18" i="44"/>
  <c r="AA18" i="44" s="1"/>
  <c r="Y20" i="44"/>
  <c r="AA20" i="44" s="1"/>
  <c r="Y27" i="44"/>
  <c r="AA27" i="44" s="1"/>
  <c r="Y31" i="44"/>
  <c r="AA31" i="44" s="1"/>
  <c r="Y41" i="44"/>
  <c r="AA41" i="44" s="1"/>
  <c r="Y49" i="44"/>
  <c r="AA49" i="44" s="1"/>
  <c r="Y54" i="44"/>
  <c r="AA54" i="44" s="1"/>
  <c r="Y56" i="44"/>
  <c r="AA56" i="44" s="1"/>
  <c r="Y58" i="44"/>
  <c r="AA58" i="44" s="1"/>
  <c r="Y63" i="44"/>
  <c r="AA63" i="44" s="1"/>
  <c r="Y73" i="44"/>
  <c r="AA73" i="44" s="1"/>
  <c r="Y106" i="44"/>
  <c r="AA106" i="44" s="1"/>
  <c r="Y111" i="44"/>
  <c r="AA111" i="44" s="1"/>
  <c r="Y116" i="44"/>
  <c r="AA116" i="44" s="1"/>
  <c r="Y118" i="44"/>
  <c r="AA118" i="44" s="1"/>
  <c r="Y120" i="44"/>
  <c r="AA120" i="44" s="1"/>
  <c r="Y129" i="44"/>
  <c r="AA129" i="44" s="1"/>
  <c r="Y142" i="44"/>
  <c r="AA142" i="44" s="1"/>
  <c r="Y9" i="44"/>
  <c r="AA9" i="44" s="1"/>
  <c r="H12" i="44"/>
  <c r="H14" i="44"/>
  <c r="I14" i="44" s="1"/>
  <c r="Y6" i="44"/>
  <c r="AA6" i="44" s="1"/>
  <c r="Y10" i="44"/>
  <c r="AA10" i="44" s="1"/>
  <c r="Y14" i="44"/>
  <c r="AA14" i="44" s="1"/>
  <c r="H15" i="44"/>
  <c r="I15" i="44" s="1"/>
  <c r="H16" i="44"/>
  <c r="I16" i="44" s="1"/>
  <c r="Y22" i="44"/>
  <c r="AA22" i="44" s="1"/>
  <c r="Y25" i="44"/>
  <c r="AA25" i="44" s="1"/>
  <c r="H21" i="44"/>
  <c r="I21" i="44" s="1"/>
  <c r="Y29" i="44"/>
  <c r="AA29" i="44" s="1"/>
  <c r="Y33" i="44"/>
  <c r="AA33" i="44" s="1"/>
  <c r="Y37" i="44"/>
  <c r="AA37" i="44" s="1"/>
  <c r="Y38" i="44"/>
  <c r="AA38" i="44" s="1"/>
  <c r="Y43" i="44"/>
  <c r="AA43" i="44" s="1"/>
  <c r="Y44" i="44"/>
  <c r="AA44" i="44" s="1"/>
  <c r="Y45" i="44"/>
  <c r="AA45" i="44" s="1"/>
  <c r="Y46" i="44"/>
  <c r="AA46" i="44" s="1"/>
  <c r="Y47" i="44"/>
  <c r="AA47" i="44" s="1"/>
  <c r="Y51" i="44"/>
  <c r="AA51" i="44" s="1"/>
  <c r="Y61" i="44"/>
  <c r="AA61" i="44" s="1"/>
  <c r="Y65" i="44"/>
  <c r="AA65" i="44" s="1"/>
  <c r="Y66" i="44"/>
  <c r="AA66" i="44" s="1"/>
  <c r="Y67" i="44"/>
  <c r="AA67" i="44" s="1"/>
  <c r="Y71" i="44"/>
  <c r="AA71" i="44" s="1"/>
  <c r="Y75" i="44"/>
  <c r="AA75" i="44" s="1"/>
  <c r="H85" i="44"/>
  <c r="I85" i="44" s="1"/>
  <c r="Y113" i="44"/>
  <c r="AA113" i="44" s="1"/>
  <c r="Y122" i="44"/>
  <c r="AA122" i="44" s="1"/>
  <c r="Y123" i="44"/>
  <c r="AA123" i="44" s="1"/>
  <c r="Y127" i="44"/>
  <c r="AA127" i="44" s="1"/>
  <c r="Y140" i="44"/>
  <c r="AA140" i="44" s="1"/>
  <c r="Y149" i="44"/>
  <c r="AA149" i="44" s="1"/>
  <c r="Y154" i="44"/>
  <c r="AA154" i="44" s="1"/>
  <c r="Y155" i="44"/>
  <c r="AA155" i="44" s="1"/>
  <c r="Y156" i="44"/>
  <c r="AA156" i="44" s="1"/>
  <c r="Y157" i="44"/>
  <c r="AA157" i="44" s="1"/>
  <c r="Y162" i="44"/>
  <c r="AA162" i="44" s="1"/>
  <c r="Y163" i="44"/>
  <c r="AA163" i="44" s="1"/>
  <c r="Y164" i="44"/>
  <c r="AA164" i="44" s="1"/>
  <c r="Y165" i="44"/>
  <c r="AA165" i="44" s="1"/>
  <c r="Y166" i="44"/>
  <c r="AA166" i="44" s="1"/>
  <c r="Y167" i="44"/>
  <c r="AA167" i="44" s="1"/>
  <c r="Y168" i="44"/>
  <c r="AA168" i="44" s="1"/>
  <c r="Y169" i="44"/>
  <c r="AA169" i="44" s="1"/>
  <c r="Y170" i="44"/>
  <c r="AA170" i="44" s="1"/>
  <c r="Y171" i="44"/>
  <c r="AA171" i="44" s="1"/>
  <c r="Y172" i="44"/>
  <c r="AA172" i="44" s="1"/>
  <c r="Y173" i="44"/>
  <c r="AA173" i="44" s="1"/>
  <c r="H22" i="44"/>
  <c r="I22" i="44" s="1"/>
  <c r="Y34" i="44"/>
  <c r="AA34" i="44" s="1"/>
  <c r="Y39" i="44"/>
  <c r="AA39" i="44" s="1"/>
  <c r="Y52" i="44"/>
  <c r="AA52" i="44" s="1"/>
  <c r="Y62" i="44"/>
  <c r="AA62" i="44" s="1"/>
  <c r="Y72" i="44"/>
  <c r="AA72" i="44" s="1"/>
  <c r="Y77" i="44"/>
  <c r="AA77" i="44" s="1"/>
  <c r="Y114" i="44"/>
  <c r="AA114" i="44" s="1"/>
  <c r="Y121" i="44"/>
  <c r="AA121" i="44" s="1"/>
  <c r="Y124" i="44"/>
  <c r="AA124" i="44" s="1"/>
  <c r="Y132" i="44"/>
  <c r="AA132" i="44" s="1"/>
  <c r="Y134" i="44"/>
  <c r="AA134" i="44" s="1"/>
  <c r="Y136" i="44"/>
  <c r="AA136" i="44" s="1"/>
  <c r="Y141" i="44"/>
  <c r="AA141" i="44" s="1"/>
  <c r="Y8" i="44"/>
  <c r="AA8" i="44" s="1"/>
  <c r="Y19" i="44"/>
  <c r="AA19" i="44" s="1"/>
  <c r="Y24" i="44"/>
  <c r="AA24" i="44" s="1"/>
  <c r="Y35" i="44"/>
  <c r="AA35" i="44" s="1"/>
  <c r="Y53" i="44"/>
  <c r="AA53" i="44" s="1"/>
  <c r="Y55" i="44"/>
  <c r="AA55" i="44" s="1"/>
  <c r="Y57" i="44"/>
  <c r="AA57" i="44" s="1"/>
  <c r="Y59" i="44"/>
  <c r="AA59" i="44" s="1"/>
  <c r="Y115" i="44"/>
  <c r="AA115" i="44" s="1"/>
  <c r="Y117" i="44"/>
  <c r="AA117" i="44" s="1"/>
  <c r="Y119" i="44"/>
  <c r="AA119" i="44" s="1"/>
  <c r="Y125" i="44"/>
  <c r="AA125" i="44" s="1"/>
  <c r="Y138" i="44"/>
  <c r="AA138" i="44" s="1"/>
  <c r="Y151" i="44"/>
  <c r="AA151" i="44" s="1"/>
  <c r="H18" i="44"/>
  <c r="I18" i="44" s="1"/>
  <c r="Y5" i="44"/>
  <c r="AA5" i="44" s="1"/>
  <c r="H19" i="44"/>
  <c r="I19" i="44" s="1"/>
  <c r="Y13" i="44"/>
  <c r="AA13" i="44" s="1"/>
  <c r="H13" i="44"/>
  <c r="I13" i="44" s="1"/>
  <c r="Y21" i="44"/>
  <c r="AA21" i="44" s="1"/>
  <c r="H20" i="44"/>
  <c r="I20" i="44" s="1"/>
  <c r="Y28" i="44"/>
  <c r="AA28" i="44" s="1"/>
  <c r="Y32" i="44"/>
  <c r="AA32" i="44" s="1"/>
  <c r="Y36" i="44"/>
  <c r="AA36" i="44" s="1"/>
  <c r="Y42" i="44"/>
  <c r="AA42" i="44" s="1"/>
  <c r="Y50" i="44"/>
  <c r="AA50" i="44" s="1"/>
  <c r="Y60" i="44"/>
  <c r="AA60" i="44" s="1"/>
  <c r="Y64" i="44"/>
  <c r="AA64" i="44" s="1"/>
  <c r="Y68" i="44"/>
  <c r="AA68" i="44" s="1"/>
  <c r="Y69" i="44"/>
  <c r="AA69" i="44" s="1"/>
  <c r="Y70" i="44"/>
  <c r="AA70" i="44" s="1"/>
  <c r="Y74" i="44"/>
  <c r="AA74" i="44" s="1"/>
  <c r="Y112" i="44"/>
  <c r="AA112" i="44" s="1"/>
  <c r="Y126" i="44"/>
  <c r="AA126" i="44" s="1"/>
  <c r="Y139" i="44"/>
  <c r="AA139" i="44" s="1"/>
  <c r="Y143" i="44"/>
  <c r="AA143" i="44" s="1"/>
  <c r="Y144" i="44"/>
  <c r="AA144" i="44" s="1"/>
  <c r="Y145" i="44"/>
  <c r="AA145" i="44" s="1"/>
  <c r="Y146" i="44"/>
  <c r="AA146" i="44" s="1"/>
  <c r="Y147" i="44"/>
  <c r="AA147" i="44" s="1"/>
  <c r="Y148" i="44"/>
  <c r="AA148" i="44" s="1"/>
  <c r="W42" i="44"/>
  <c r="E132" i="44"/>
  <c r="E83" i="44"/>
  <c r="E18" i="44"/>
  <c r="E56" i="44"/>
  <c r="E48" i="44"/>
  <c r="J109" i="44"/>
  <c r="J120" i="44"/>
  <c r="J179" i="44"/>
  <c r="E193" i="44"/>
  <c r="J209" i="44"/>
  <c r="E144" i="44"/>
  <c r="E10" i="44"/>
  <c r="E26" i="44"/>
  <c r="J26" i="44"/>
  <c r="E120" i="44"/>
  <c r="E209" i="44"/>
  <c r="S54" i="44"/>
  <c r="R62" i="44"/>
  <c r="R58" i="44"/>
  <c r="J18" i="44"/>
  <c r="J48" i="44"/>
  <c r="E101" i="44"/>
  <c r="E109" i="44"/>
  <c r="J144" i="44"/>
  <c r="E179" i="44"/>
  <c r="J193" i="44"/>
  <c r="J56" i="44"/>
  <c r="H104" i="44"/>
  <c r="I104" i="44" s="1"/>
  <c r="H105" i="44"/>
  <c r="I105" i="44" s="1"/>
  <c r="S55" i="44"/>
  <c r="R55" i="44" s="1"/>
  <c r="Q55" i="44" s="1"/>
  <c r="R59" i="44"/>
  <c r="J10" i="44"/>
  <c r="J83" i="44"/>
  <c r="J101" i="44"/>
  <c r="R40" i="44"/>
  <c r="Q40" i="44" s="1"/>
  <c r="R64" i="44"/>
  <c r="R63" i="44"/>
  <c r="R65" i="44"/>
  <c r="R61" i="44"/>
  <c r="R57" i="44"/>
  <c r="R52" i="44"/>
  <c r="R53" i="44"/>
  <c r="V42" i="44"/>
  <c r="U42" i="44"/>
  <c r="V66" i="44"/>
  <c r="H29" i="44"/>
  <c r="I29" i="44" s="1"/>
  <c r="H30" i="44"/>
  <c r="I30" i="44" s="1"/>
  <c r="H106" i="44"/>
  <c r="I106" i="44" s="1"/>
  <c r="H122" i="44"/>
  <c r="I122" i="44" s="1"/>
  <c r="H230" i="44"/>
  <c r="I230" i="44" s="1"/>
  <c r="H228" i="44"/>
  <c r="I228" i="44" s="1"/>
  <c r="H226" i="44"/>
  <c r="I226" i="44" s="1"/>
  <c r="H224" i="44"/>
  <c r="I224" i="44" s="1"/>
  <c r="H233" i="44"/>
  <c r="I233" i="44" s="1"/>
  <c r="H231" i="44"/>
  <c r="I231" i="44" s="1"/>
  <c r="H229" i="44"/>
  <c r="I229" i="44" s="1"/>
  <c r="H227" i="44"/>
  <c r="I227" i="44" s="1"/>
  <c r="H225" i="44"/>
  <c r="I225" i="44" s="1"/>
  <c r="H223" i="44"/>
  <c r="I223" i="44" s="1"/>
  <c r="H196" i="44"/>
  <c r="I196" i="44" s="1"/>
  <c r="H202" i="44"/>
  <c r="I202" i="44" s="1"/>
  <c r="H200" i="44"/>
  <c r="I200" i="44" s="1"/>
  <c r="H138" i="44"/>
  <c r="I138" i="44" s="1"/>
  <c r="H134" i="44"/>
  <c r="I134" i="44" s="1"/>
  <c r="H198" i="44"/>
  <c r="I198" i="44" s="1"/>
  <c r="H147" i="44"/>
  <c r="I147" i="44" s="1"/>
  <c r="H111" i="44"/>
  <c r="I111" i="44" s="1"/>
  <c r="H107" i="44"/>
  <c r="I107" i="44" s="1"/>
  <c r="H54" i="44"/>
  <c r="I54" i="44" s="1"/>
  <c r="H51" i="44"/>
  <c r="I51" i="44" s="1"/>
  <c r="H43" i="44"/>
  <c r="I43" i="44" s="1"/>
  <c r="H41" i="44"/>
  <c r="I41" i="44" s="1"/>
  <c r="H123" i="44"/>
  <c r="I123" i="44" s="1"/>
  <c r="H103" i="44"/>
  <c r="I103" i="44" s="1"/>
  <c r="H87" i="44"/>
  <c r="I87" i="44" s="1"/>
  <c r="H58" i="44"/>
  <c r="I58" i="44" s="1"/>
  <c r="T66" i="44"/>
  <c r="R50" i="44"/>
  <c r="H23" i="44"/>
  <c r="I23" i="44" s="1"/>
  <c r="H32" i="44"/>
  <c r="I32" i="44" s="1"/>
  <c r="H33" i="44"/>
  <c r="I33" i="44" s="1"/>
  <c r="H44" i="44"/>
  <c r="I44" i="44" s="1"/>
  <c r="H52" i="44"/>
  <c r="I52" i="44" s="1"/>
  <c r="H88" i="44"/>
  <c r="I88" i="44" s="1"/>
  <c r="H232" i="44"/>
  <c r="I232" i="44" s="1"/>
  <c r="H31" i="44"/>
  <c r="I31" i="44" s="1"/>
  <c r="H42" i="44"/>
  <c r="I42" i="44" s="1"/>
  <c r="U66" i="44"/>
  <c r="H24" i="44"/>
  <c r="I24" i="44" s="1"/>
  <c r="H28" i="44"/>
  <c r="I28" i="44" s="1"/>
  <c r="R60" i="44"/>
  <c r="H50" i="44"/>
  <c r="I50" i="44" s="1"/>
  <c r="H59" i="44"/>
  <c r="I59" i="44" s="1"/>
  <c r="H60" i="44"/>
  <c r="I60" i="44" s="1"/>
  <c r="H61" i="44"/>
  <c r="I61" i="44" s="1"/>
  <c r="H136" i="44"/>
  <c r="I136" i="44" s="1"/>
  <c r="H53" i="44"/>
  <c r="I53" i="44" s="1"/>
  <c r="H62" i="44"/>
  <c r="I62" i="44" s="1"/>
  <c r="H86" i="44"/>
  <c r="I86" i="44" s="1"/>
  <c r="H135" i="44"/>
  <c r="I135" i="44" s="1"/>
  <c r="H199" i="44"/>
  <c r="I199" i="44" s="1"/>
  <c r="H201" i="44"/>
  <c r="I201" i="44" s="1"/>
  <c r="H137" i="44"/>
  <c r="I137" i="44" s="1"/>
  <c r="H181" i="44"/>
  <c r="I181" i="44" s="1"/>
  <c r="H195" i="44"/>
  <c r="I195" i="44" s="1"/>
  <c r="H146" i="44"/>
  <c r="I146" i="44" s="1"/>
  <c r="H148" i="44"/>
  <c r="I148" i="44" s="1"/>
  <c r="H149" i="44"/>
  <c r="I149" i="44" s="1"/>
  <c r="H197" i="44"/>
  <c r="I197" i="44" s="1"/>
  <c r="H234" i="44"/>
  <c r="I234" i="44" s="1"/>
  <c r="M193" i="44" l="1"/>
  <c r="AC17" i="45"/>
  <c r="W9" i="44"/>
  <c r="Q198" i="45"/>
  <c r="I211" i="44"/>
  <c r="L211" i="44"/>
  <c r="L212" i="44"/>
  <c r="I212" i="44"/>
  <c r="AB160" i="44"/>
  <c r="N59" i="45"/>
  <c r="M23" i="45"/>
  <c r="I251" i="44"/>
  <c r="L251" i="44"/>
  <c r="L248" i="44"/>
  <c r="I248" i="44"/>
  <c r="L246" i="44"/>
  <c r="I246" i="44"/>
  <c r="I254" i="44"/>
  <c r="L254" i="44"/>
  <c r="I259" i="44"/>
  <c r="L259" i="44"/>
  <c r="L253" i="44"/>
  <c r="I253" i="44"/>
  <c r="L97" i="44"/>
  <c r="I97" i="44"/>
  <c r="L256" i="44"/>
  <c r="I256" i="44"/>
  <c r="L250" i="44"/>
  <c r="I250" i="44"/>
  <c r="L249" i="44"/>
  <c r="I249" i="44"/>
  <c r="L258" i="44"/>
  <c r="I258" i="44"/>
  <c r="L245" i="44"/>
  <c r="I245" i="44"/>
  <c r="L260" i="44"/>
  <c r="I260" i="44"/>
  <c r="I247" i="44"/>
  <c r="L247" i="44"/>
  <c r="L252" i="44"/>
  <c r="I252" i="44"/>
  <c r="I255" i="44"/>
  <c r="L255" i="44"/>
  <c r="L257" i="44"/>
  <c r="I257" i="44"/>
  <c r="I98" i="44"/>
  <c r="L98" i="44"/>
  <c r="AB44" i="44"/>
  <c r="AB45" i="44"/>
  <c r="AB46" i="44"/>
  <c r="AB47" i="44"/>
  <c r="AB48" i="44"/>
  <c r="S66" i="44"/>
  <c r="R6" i="45"/>
  <c r="W6" i="44"/>
  <c r="W10" i="44"/>
  <c r="W7" i="44"/>
  <c r="I12" i="44"/>
  <c r="AB161" i="44"/>
  <c r="AB162" i="44"/>
  <c r="AB164" i="44"/>
  <c r="AB163" i="44"/>
  <c r="AB49" i="44"/>
  <c r="AB60" i="44"/>
  <c r="AB56" i="44"/>
  <c r="AB55" i="44"/>
  <c r="AB59" i="44"/>
  <c r="AB53" i="44"/>
  <c r="AB51" i="44"/>
  <c r="AB52" i="44"/>
  <c r="L96" i="44"/>
  <c r="L140" i="44"/>
  <c r="AB50" i="44"/>
  <c r="L95" i="44"/>
  <c r="L206" i="44"/>
  <c r="L142" i="44"/>
  <c r="AB57" i="44"/>
  <c r="L139" i="44"/>
  <c r="AB54" i="44"/>
  <c r="L94" i="44"/>
  <c r="L204" i="44"/>
  <c r="L141" i="44"/>
  <c r="S17" i="44"/>
  <c r="AB58" i="44"/>
  <c r="L203" i="44"/>
  <c r="L205" i="44"/>
  <c r="L80" i="44"/>
  <c r="L78" i="44"/>
  <c r="L77" i="44"/>
  <c r="L73" i="44"/>
  <c r="L74" i="44"/>
  <c r="L76" i="44"/>
  <c r="L79" i="44"/>
  <c r="L71" i="44"/>
  <c r="L72" i="44"/>
  <c r="L81" i="44"/>
  <c r="L75" i="44"/>
  <c r="M132" i="44"/>
  <c r="L207" i="44"/>
  <c r="AB66" i="44"/>
  <c r="AB67" i="44"/>
  <c r="AB64" i="44"/>
  <c r="AB65" i="44"/>
  <c r="AB62" i="44"/>
  <c r="AB63" i="44"/>
  <c r="AB61" i="44"/>
  <c r="AB149" i="44"/>
  <c r="AB150" i="44"/>
  <c r="AB151" i="44"/>
  <c r="AB75" i="44"/>
  <c r="AB166" i="44"/>
  <c r="AB96" i="44"/>
  <c r="AB81" i="44"/>
  <c r="AB167" i="44"/>
  <c r="AB86" i="44"/>
  <c r="AB72" i="44"/>
  <c r="AB105" i="44"/>
  <c r="AB172" i="44"/>
  <c r="AB83" i="44"/>
  <c r="AB84" i="44"/>
  <c r="AB104" i="44"/>
  <c r="AB107" i="44"/>
  <c r="AB98" i="44"/>
  <c r="AB89" i="44"/>
  <c r="AB97" i="44"/>
  <c r="AB94" i="44"/>
  <c r="AB80" i="44"/>
  <c r="AB169" i="44"/>
  <c r="AB69" i="44"/>
  <c r="AB91" i="44"/>
  <c r="AB92" i="44"/>
  <c r="AB165" i="44"/>
  <c r="AB82" i="44"/>
  <c r="AB101" i="44"/>
  <c r="AB106" i="44"/>
  <c r="AB103" i="44"/>
  <c r="AB102" i="44"/>
  <c r="AB88" i="44"/>
  <c r="AB74" i="44"/>
  <c r="AB77" i="44"/>
  <c r="AB99" i="44"/>
  <c r="AB100" i="44"/>
  <c r="AB71" i="44"/>
  <c r="AB85" i="44"/>
  <c r="AB73" i="44"/>
  <c r="AB70" i="44"/>
  <c r="AB76" i="44"/>
  <c r="AB173" i="44"/>
  <c r="AB79" i="44"/>
  <c r="AB168" i="44"/>
  <c r="AB90" i="44"/>
  <c r="AB93" i="44"/>
  <c r="AB95" i="44"/>
  <c r="AB78" i="44"/>
  <c r="AB170" i="44"/>
  <c r="AB129" i="44"/>
  <c r="AB87" i="44"/>
  <c r="AB171" i="44"/>
  <c r="AB68" i="44"/>
  <c r="M39" i="44"/>
  <c r="L69" i="44"/>
  <c r="L70" i="44"/>
  <c r="L67" i="44"/>
  <c r="L68" i="44"/>
  <c r="L65" i="44"/>
  <c r="L63" i="44"/>
  <c r="L66" i="44"/>
  <c r="L64" i="44"/>
  <c r="U11" i="44"/>
  <c r="M209" i="44"/>
  <c r="L135" i="44"/>
  <c r="M56" i="44"/>
  <c r="M120" i="44"/>
  <c r="M18" i="44"/>
  <c r="L45" i="44"/>
  <c r="L175" i="44"/>
  <c r="L115" i="44"/>
  <c r="M83" i="44"/>
  <c r="B6" i="44"/>
  <c r="L117" i="44"/>
  <c r="L168" i="44"/>
  <c r="M221" i="44"/>
  <c r="L174" i="44"/>
  <c r="L189" i="44"/>
  <c r="M179" i="44"/>
  <c r="M48" i="44"/>
  <c r="M144" i="44"/>
  <c r="M26" i="44"/>
  <c r="L235" i="44"/>
  <c r="L91" i="44"/>
  <c r="L104" i="44"/>
  <c r="L188" i="44"/>
  <c r="M109" i="44"/>
  <c r="L215" i="44"/>
  <c r="D6" i="44"/>
  <c r="L128" i="44"/>
  <c r="L216" i="44"/>
  <c r="L105" i="44"/>
  <c r="L62" i="44"/>
  <c r="L111" i="44"/>
  <c r="L233" i="44"/>
  <c r="M10" i="44"/>
  <c r="M101" i="44"/>
  <c r="L37" i="44"/>
  <c r="L92" i="44"/>
  <c r="L124" i="44"/>
  <c r="L239" i="44"/>
  <c r="L214" i="44"/>
  <c r="L219" i="44"/>
  <c r="L200" i="44"/>
  <c r="L201" i="44"/>
  <c r="L195" i="44"/>
  <c r="L191" i="44"/>
  <c r="L147" i="44"/>
  <c r="L181" i="44"/>
  <c r="L187" i="44"/>
  <c r="L171" i="44"/>
  <c r="L159" i="44"/>
  <c r="L88" i="44"/>
  <c r="L106" i="44"/>
  <c r="L99" i="44"/>
  <c r="L85" i="44"/>
  <c r="L116" i="44"/>
  <c r="L61" i="44"/>
  <c r="L42" i="44"/>
  <c r="L60" i="44"/>
  <c r="T44" i="44"/>
  <c r="L185" i="44"/>
  <c r="L157" i="44"/>
  <c r="L126" i="44"/>
  <c r="L158" i="44"/>
  <c r="L28" i="44"/>
  <c r="L236" i="44"/>
  <c r="L186" i="44"/>
  <c r="L166" i="44"/>
  <c r="L127" i="44"/>
  <c r="L218" i="44"/>
  <c r="L198" i="44"/>
  <c r="L183" i="44"/>
  <c r="L153" i="44"/>
  <c r="L177" i="44"/>
  <c r="L167" i="44"/>
  <c r="L86" i="44"/>
  <c r="L107" i="44"/>
  <c r="L53" i="44"/>
  <c r="L136" i="44"/>
  <c r="L103" i="44"/>
  <c r="R54" i="44"/>
  <c r="L89" i="44"/>
  <c r="L232" i="44"/>
  <c r="L113" i="44"/>
  <c r="L41" i="44"/>
  <c r="L134" i="44"/>
  <c r="L225" i="44"/>
  <c r="L122" i="44"/>
  <c r="L242" i="44"/>
  <c r="L197" i="44"/>
  <c r="L173" i="44"/>
  <c r="L146" i="44"/>
  <c r="L231" i="44"/>
  <c r="L196" i="44"/>
  <c r="L165" i="44"/>
  <c r="L149" i="44"/>
  <c r="L163" i="44"/>
  <c r="L155" i="44"/>
  <c r="L151" i="44"/>
  <c r="L118" i="44"/>
  <c r="L129" i="44"/>
  <c r="L93" i="44"/>
  <c r="L59" i="44"/>
  <c r="L50" i="44"/>
  <c r="L58" i="44"/>
  <c r="L217" i="44"/>
  <c r="R42" i="44"/>
  <c r="V17" i="44" s="1"/>
  <c r="L123" i="44"/>
  <c r="L43" i="44"/>
  <c r="L176" i="44"/>
  <c r="L190" i="44"/>
  <c r="L90" i="44"/>
  <c r="L138" i="44"/>
  <c r="L170" i="44"/>
  <c r="L172" i="44"/>
  <c r="L228" i="44"/>
  <c r="L241" i="44"/>
  <c r="L112" i="44"/>
  <c r="L87" i="44"/>
  <c r="L44" i="44"/>
  <c r="L234" i="44"/>
  <c r="L199" i="44"/>
  <c r="L114" i="44"/>
  <c r="L224" i="44"/>
  <c r="L238" i="44"/>
  <c r="L164" i="44"/>
  <c r="L160" i="44"/>
  <c r="L156" i="44"/>
  <c r="L152" i="44"/>
  <c r="L148" i="44"/>
  <c r="L161" i="44"/>
  <c r="L137" i="44"/>
  <c r="L162" i="44"/>
  <c r="L154" i="44"/>
  <c r="L169" i="44"/>
  <c r="L150" i="44"/>
  <c r="L202" i="44"/>
  <c r="L54" i="44"/>
  <c r="L30" i="44"/>
  <c r="L240" i="44"/>
  <c r="L125" i="44"/>
  <c r="L52" i="44"/>
  <c r="L130" i="44"/>
  <c r="L51" i="44"/>
  <c r="L184" i="44"/>
  <c r="L229" i="44"/>
  <c r="L230" i="44"/>
  <c r="L237" i="44"/>
  <c r="AG38" i="39"/>
  <c r="AF38" i="39"/>
  <c r="AE38" i="39"/>
  <c r="AE68" i="39"/>
  <c r="Q220" i="45" l="1"/>
  <c r="Z149" i="45" s="1"/>
  <c r="N60" i="45"/>
  <c r="M24" i="45"/>
  <c r="Q54" i="44"/>
  <c r="Q64" i="44"/>
  <c r="W11" i="44"/>
  <c r="Q17" i="44"/>
  <c r="E6" i="44"/>
  <c r="J6" i="44"/>
  <c r="Z137" i="45" l="1"/>
  <c r="Z94" i="45"/>
  <c r="Z86" i="45"/>
  <c r="Z84" i="45"/>
  <c r="Z113" i="45"/>
  <c r="Z101" i="45"/>
  <c r="Z120" i="45"/>
  <c r="Z119" i="45"/>
  <c r="Z118" i="45"/>
  <c r="Z125" i="45"/>
  <c r="Z100" i="45"/>
  <c r="Z127" i="45"/>
  <c r="Z122" i="45"/>
  <c r="Z143" i="45"/>
  <c r="Z106" i="45"/>
  <c r="Z83" i="45"/>
  <c r="Z124" i="45"/>
  <c r="Z129" i="45"/>
  <c r="Z148" i="45"/>
  <c r="Z112" i="45"/>
  <c r="Z111" i="45"/>
  <c r="Z95" i="45"/>
  <c r="Z87" i="45"/>
  <c r="Z145" i="45"/>
  <c r="Z139" i="45"/>
  <c r="Z92" i="45"/>
  <c r="Z117" i="45"/>
  <c r="Z91" i="45"/>
  <c r="Z85" i="45"/>
  <c r="Z98" i="45"/>
  <c r="Z114" i="45"/>
  <c r="Z132" i="45"/>
  <c r="Z141" i="45"/>
  <c r="Z105" i="45"/>
  <c r="Z90" i="45"/>
  <c r="Z110" i="45"/>
  <c r="Z151" i="45"/>
  <c r="Z126" i="45"/>
  <c r="Z96" i="45"/>
  <c r="Z142" i="45"/>
  <c r="Z138" i="45"/>
  <c r="Z107" i="45"/>
  <c r="Z102" i="45"/>
  <c r="Z103" i="45"/>
  <c r="Z121" i="45"/>
  <c r="Z97" i="45"/>
  <c r="Z135" i="45"/>
  <c r="Z147" i="45"/>
  <c r="Z104" i="45"/>
  <c r="Z128" i="45"/>
  <c r="Z82" i="45"/>
  <c r="Z93" i="45"/>
  <c r="Z115" i="45"/>
  <c r="Z89" i="45"/>
  <c r="Z134" i="45"/>
  <c r="Z136" i="45"/>
  <c r="Z99" i="45"/>
  <c r="Z109" i="45"/>
  <c r="Z88" i="45"/>
  <c r="Z123" i="45"/>
  <c r="Z116" i="45"/>
  <c r="Z150" i="45"/>
  <c r="Z108" i="45"/>
  <c r="Z144" i="45"/>
  <c r="Z130" i="45"/>
  <c r="Z146" i="45"/>
  <c r="Z131" i="45"/>
  <c r="Z140" i="45"/>
  <c r="Z133" i="45"/>
  <c r="M29" i="45"/>
  <c r="M31" i="45" s="1"/>
  <c r="N61" i="45"/>
  <c r="M6" i="44"/>
  <c r="R51" i="44"/>
  <c r="P66" i="44" s="1"/>
  <c r="U17" i="44"/>
  <c r="P20" i="44" s="1"/>
  <c r="AI10" i="39"/>
  <c r="AI13" i="39"/>
  <c r="AI14" i="39"/>
  <c r="AI15" i="39"/>
  <c r="Z77" i="45" a="1"/>
  <c r="Z80" i="45" a="1"/>
  <c r="Z77" i="45" l="1"/>
  <c r="Z80" i="45"/>
  <c r="Z75" i="45"/>
  <c r="L133" i="45"/>
  <c r="AI97" i="45"/>
  <c r="AI74" i="45"/>
  <c r="AI86" i="45"/>
  <c r="AI89" i="45"/>
  <c r="AI165" i="45"/>
  <c r="AI170" i="45"/>
  <c r="AI75" i="45"/>
  <c r="AI77" i="45"/>
  <c r="AI171" i="45"/>
  <c r="AI81" i="45"/>
  <c r="AI88" i="45"/>
  <c r="AI169" i="45"/>
  <c r="AI129" i="45"/>
  <c r="AI80" i="45"/>
  <c r="AI172" i="45"/>
  <c r="AI173" i="45"/>
  <c r="M32" i="45"/>
  <c r="M33" i="45" s="1"/>
  <c r="M219" i="45" s="1"/>
  <c r="N62" i="45"/>
  <c r="N63" i="45" s="1"/>
  <c r="V40" i="39"/>
  <c r="V41" i="39"/>
  <c r="V42" i="39"/>
  <c r="V43" i="39"/>
  <c r="V44" i="39"/>
  <c r="V45" i="39"/>
  <c r="V46" i="39"/>
  <c r="V47" i="39"/>
  <c r="V48" i="39"/>
  <c r="V49" i="39"/>
  <c r="V50" i="39"/>
  <c r="V51" i="39"/>
  <c r="V52" i="39"/>
  <c r="V53" i="39"/>
  <c r="V54" i="39"/>
  <c r="V55" i="39"/>
  <c r="V56" i="39"/>
  <c r="V57" i="39"/>
  <c r="V58" i="39"/>
  <c r="V59" i="39"/>
  <c r="V60" i="39"/>
  <c r="V61" i="39"/>
  <c r="V62" i="39"/>
  <c r="V63" i="39"/>
  <c r="V64" i="39"/>
  <c r="V65" i="39"/>
  <c r="V66" i="39"/>
  <c r="V67" i="39"/>
  <c r="V68" i="39"/>
  <c r="V69" i="39"/>
  <c r="V70" i="39"/>
  <c r="V71" i="39"/>
  <c r="V72" i="39"/>
  <c r="V73" i="39"/>
  <c r="V74" i="39"/>
  <c r="V75" i="39"/>
  <c r="V76" i="39"/>
  <c r="V77" i="39"/>
  <c r="V78" i="39"/>
  <c r="V79" i="39"/>
  <c r="V80" i="39"/>
  <c r="V81" i="39"/>
  <c r="V82" i="39"/>
  <c r="V83" i="39"/>
  <c r="V84" i="39"/>
  <c r="V85" i="39"/>
  <c r="V86" i="39"/>
  <c r="V87" i="39"/>
  <c r="V88" i="39"/>
  <c r="V89" i="39"/>
  <c r="V90" i="39"/>
  <c r="V91" i="39"/>
  <c r="V92" i="39"/>
  <c r="V93" i="39"/>
  <c r="V94" i="39"/>
  <c r="V95" i="39"/>
  <c r="V96" i="39"/>
  <c r="V97" i="39"/>
  <c r="V98" i="39"/>
  <c r="V99" i="39"/>
  <c r="V100" i="39"/>
  <c r="V101" i="39"/>
  <c r="V102" i="39"/>
  <c r="V103" i="39"/>
  <c r="V104" i="39"/>
  <c r="V105" i="39"/>
  <c r="V106" i="39"/>
  <c r="V107" i="39"/>
  <c r="V108" i="39"/>
  <c r="V109" i="39"/>
  <c r="V110" i="39"/>
  <c r="V111" i="39"/>
  <c r="V112" i="39"/>
  <c r="V113" i="39"/>
  <c r="V114" i="39"/>
  <c r="V115" i="39"/>
  <c r="V116" i="39"/>
  <c r="V117" i="39"/>
  <c r="V118" i="39"/>
  <c r="V119" i="39"/>
  <c r="V120" i="39"/>
  <c r="V121" i="39"/>
  <c r="V122" i="39"/>
  <c r="V123" i="39"/>
  <c r="V124" i="39"/>
  <c r="V125" i="39"/>
  <c r="V127" i="39"/>
  <c r="V128" i="39"/>
  <c r="V129" i="39"/>
  <c r="V130" i="39"/>
  <c r="V131" i="39"/>
  <c r="V132" i="39"/>
  <c r="V133" i="39"/>
  <c r="V134" i="39"/>
  <c r="V135" i="39"/>
  <c r="V136" i="39"/>
  <c r="V137" i="39"/>
  <c r="V138" i="39"/>
  <c r="V139" i="39"/>
  <c r="V140" i="39"/>
  <c r="V141" i="39"/>
  <c r="N105" i="39"/>
  <c r="M105" i="39"/>
  <c r="J105" i="39"/>
  <c r="G105" i="39"/>
  <c r="Z72" i="45" l="1"/>
  <c r="Z79" i="45"/>
  <c r="M226" i="45"/>
  <c r="V103" i="45" s="1"/>
  <c r="N81" i="45"/>
  <c r="Q105" i="39"/>
  <c r="V87" i="45" l="1"/>
  <c r="V89" i="45"/>
  <c r="V125" i="45"/>
  <c r="V124" i="45"/>
  <c r="V121" i="45"/>
  <c r="V86" i="45"/>
  <c r="V136" i="45"/>
  <c r="V128" i="45"/>
  <c r="V131" i="45"/>
  <c r="V123" i="45"/>
  <c r="V118" i="45"/>
  <c r="V112" i="45"/>
  <c r="V147" i="45"/>
  <c r="V119" i="45"/>
  <c r="V104" i="45"/>
  <c r="V94" i="45"/>
  <c r="V108" i="45"/>
  <c r="V137" i="45"/>
  <c r="V150" i="45"/>
  <c r="V115" i="45"/>
  <c r="V85" i="45"/>
  <c r="V142" i="45"/>
  <c r="V113" i="45"/>
  <c r="V88" i="45"/>
  <c r="V110" i="45"/>
  <c r="V120" i="45"/>
  <c r="V144" i="45"/>
  <c r="V130" i="45"/>
  <c r="V83" i="45"/>
  <c r="V97" i="45"/>
  <c r="V105" i="45"/>
  <c r="V148" i="45"/>
  <c r="V140" i="45"/>
  <c r="V90" i="45"/>
  <c r="V100" i="45"/>
  <c r="V91" i="45"/>
  <c r="V99" i="45"/>
  <c r="V96" i="45"/>
  <c r="V84" i="45"/>
  <c r="V133" i="45"/>
  <c r="V132" i="45"/>
  <c r="V127" i="45"/>
  <c r="V106" i="45"/>
  <c r="V95" i="45"/>
  <c r="V122" i="45"/>
  <c r="V92" i="45"/>
  <c r="V82" i="45"/>
  <c r="V143" i="45"/>
  <c r="V146" i="45"/>
  <c r="V139" i="45"/>
  <c r="V116" i="45"/>
  <c r="V98" i="45"/>
  <c r="V126" i="45"/>
  <c r="V107" i="45"/>
  <c r="V151" i="45"/>
  <c r="V109" i="45"/>
  <c r="V129" i="45"/>
  <c r="V149" i="45"/>
  <c r="V141" i="45"/>
  <c r="V114" i="45"/>
  <c r="V102" i="45"/>
  <c r="V117" i="45"/>
  <c r="V101" i="45"/>
  <c r="V111" i="45"/>
  <c r="V93" i="45"/>
  <c r="V138" i="45"/>
  <c r="V135" i="45"/>
  <c r="V134" i="45"/>
  <c r="V145" i="45"/>
  <c r="N82" i="45"/>
  <c r="N83" i="45" s="1"/>
  <c r="N84" i="45" s="1"/>
  <c r="N85" i="45" s="1"/>
  <c r="N86" i="45" s="1"/>
  <c r="N87" i="45" s="1"/>
  <c r="N88" i="45" s="1"/>
  <c r="AR152" i="39"/>
  <c r="AR174" i="39"/>
  <c r="AX8" i="39" s="1"/>
  <c r="V77" i="45" a="1"/>
  <c r="V80" i="45" a="1"/>
  <c r="N89" i="45" l="1"/>
  <c r="N107" i="45" s="1"/>
  <c r="V80" i="45"/>
  <c r="V77" i="45"/>
  <c r="V75" i="45"/>
  <c r="V72" i="45" s="1"/>
  <c r="G14" i="39"/>
  <c r="N108" i="45" l="1"/>
  <c r="N109" i="45" s="1"/>
  <c r="AA17" i="39"/>
  <c r="N118" i="45" l="1"/>
  <c r="N130" i="45" s="1"/>
  <c r="N131" i="45" s="1"/>
  <c r="J89" i="39"/>
  <c r="M89" i="39"/>
  <c r="N89" i="39"/>
  <c r="N132" i="45" l="1"/>
  <c r="N133" i="45" s="1"/>
  <c r="N191" i="45" s="1"/>
  <c r="N192" i="45" s="1"/>
  <c r="N197" i="45" s="1"/>
  <c r="C8" i="39"/>
  <c r="AO48" i="39"/>
  <c r="AO49" i="39"/>
  <c r="AO50" i="39"/>
  <c r="AO51" i="39"/>
  <c r="AO52" i="39"/>
  <c r="AO53" i="39"/>
  <c r="AO54" i="39"/>
  <c r="AO55" i="39"/>
  <c r="AO56" i="39"/>
  <c r="AO57" i="39"/>
  <c r="AO58" i="39"/>
  <c r="AO59" i="39"/>
  <c r="AO60" i="39"/>
  <c r="AO61" i="39"/>
  <c r="N87" i="39"/>
  <c r="N88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4" i="39"/>
  <c r="N125" i="39"/>
  <c r="N127" i="39"/>
  <c r="N128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M87" i="39"/>
  <c r="M88" i="39"/>
  <c r="M90" i="39"/>
  <c r="M91" i="39"/>
  <c r="M92" i="39"/>
  <c r="M93" i="39"/>
  <c r="M94" i="39"/>
  <c r="M95" i="39"/>
  <c r="M96" i="39"/>
  <c r="M98" i="39"/>
  <c r="M99" i="39"/>
  <c r="M100" i="39"/>
  <c r="M101" i="39"/>
  <c r="M102" i="39"/>
  <c r="M103" i="39"/>
  <c r="M104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4" i="39"/>
  <c r="M125" i="39"/>
  <c r="M127" i="39"/>
  <c r="M128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J88" i="39"/>
  <c r="J90" i="39"/>
  <c r="J91" i="39"/>
  <c r="J92" i="39"/>
  <c r="J93" i="39"/>
  <c r="J94" i="39"/>
  <c r="J95" i="39"/>
  <c r="J96" i="39"/>
  <c r="J97" i="39"/>
  <c r="J98" i="39"/>
  <c r="J99" i="39"/>
  <c r="J100" i="39"/>
  <c r="J101" i="39"/>
  <c r="J102" i="39"/>
  <c r="J103" i="39"/>
  <c r="J104" i="39"/>
  <c r="J106" i="39"/>
  <c r="J107" i="39"/>
  <c r="J108" i="39"/>
  <c r="J109" i="39"/>
  <c r="J110" i="39"/>
  <c r="J111" i="39"/>
  <c r="J112" i="39"/>
  <c r="J113" i="39"/>
  <c r="J114" i="39"/>
  <c r="J115" i="39"/>
  <c r="J116" i="39"/>
  <c r="J117" i="39"/>
  <c r="J118" i="39"/>
  <c r="J119" i="39"/>
  <c r="J120" i="39"/>
  <c r="J121" i="39"/>
  <c r="J122" i="39"/>
  <c r="J124" i="39"/>
  <c r="J125" i="39"/>
  <c r="J127" i="39"/>
  <c r="J128" i="39"/>
  <c r="J134" i="39"/>
  <c r="J135" i="39"/>
  <c r="J136" i="39"/>
  <c r="J137" i="39"/>
  <c r="J138" i="39"/>
  <c r="J139" i="39"/>
  <c r="J140" i="39"/>
  <c r="J141" i="39"/>
  <c r="J142" i="39"/>
  <c r="J143" i="39"/>
  <c r="J144" i="39"/>
  <c r="J145" i="39"/>
  <c r="J146" i="39"/>
  <c r="J147" i="39"/>
  <c r="J148" i="39"/>
  <c r="J149" i="39"/>
  <c r="J150" i="39"/>
  <c r="J151" i="39"/>
  <c r="J152" i="39"/>
  <c r="J153" i="39"/>
  <c r="J154" i="39"/>
  <c r="J155" i="39"/>
  <c r="J156" i="39"/>
  <c r="J157" i="39"/>
  <c r="J158" i="39"/>
  <c r="J159" i="39"/>
  <c r="J160" i="39"/>
  <c r="J161" i="39"/>
  <c r="J162" i="39"/>
  <c r="J163" i="39"/>
  <c r="J164" i="39"/>
  <c r="J165" i="39"/>
  <c r="J166" i="39"/>
  <c r="J167" i="39"/>
  <c r="J168" i="39"/>
  <c r="B127" i="39"/>
  <c r="B128" i="39"/>
  <c r="B129" i="39"/>
  <c r="B130" i="39" s="1"/>
  <c r="B131" i="39" s="1"/>
  <c r="B132" i="39" s="1"/>
  <c r="B133" i="39" s="1"/>
  <c r="B134" i="39"/>
  <c r="B135" i="39"/>
  <c r="B136" i="39"/>
  <c r="B137" i="39"/>
  <c r="B138" i="39"/>
  <c r="B139" i="39"/>
  <c r="B140" i="39"/>
  <c r="B141" i="39"/>
  <c r="B142" i="39"/>
  <c r="B143" i="39"/>
  <c r="B144" i="39"/>
  <c r="B145" i="39"/>
  <c r="B146" i="39"/>
  <c r="B147" i="39"/>
  <c r="B148" i="39"/>
  <c r="B149" i="39"/>
  <c r="B150" i="39"/>
  <c r="B151" i="39"/>
  <c r="B152" i="39"/>
  <c r="B153" i="39"/>
  <c r="B154" i="39"/>
  <c r="B155" i="39"/>
  <c r="B156" i="39"/>
  <c r="B157" i="39"/>
  <c r="B158" i="39"/>
  <c r="B159" i="39"/>
  <c r="B160" i="39"/>
  <c r="B161" i="39"/>
  <c r="B162" i="39"/>
  <c r="B163" i="39"/>
  <c r="B164" i="39"/>
  <c r="B165" i="39"/>
  <c r="B166" i="39"/>
  <c r="B167" i="39"/>
  <c r="B168" i="39"/>
  <c r="N82" i="39"/>
  <c r="M82" i="39"/>
  <c r="N198" i="45" l="1"/>
  <c r="N199" i="45" s="1"/>
  <c r="N200" i="45" s="1"/>
  <c r="N73" i="39"/>
  <c r="M73" i="39"/>
  <c r="J73" i="39"/>
  <c r="G73" i="39"/>
  <c r="N68" i="39"/>
  <c r="N69" i="39"/>
  <c r="N71" i="39"/>
  <c r="N72" i="39"/>
  <c r="N74" i="39"/>
  <c r="M68" i="39"/>
  <c r="M69" i="39"/>
  <c r="M70" i="39"/>
  <c r="M71" i="39"/>
  <c r="M72" i="39"/>
  <c r="J71" i="39"/>
  <c r="G71" i="39"/>
  <c r="N207" i="45" l="1"/>
  <c r="AI66" i="39"/>
  <c r="AI67" i="39"/>
  <c r="N208" i="45" l="1"/>
  <c r="N222" i="45" s="1"/>
  <c r="N223" i="45" s="1"/>
  <c r="N224" i="45" s="1"/>
  <c r="N225" i="45" s="1"/>
  <c r="N227" i="45" s="1"/>
  <c r="N228" i="45" s="1"/>
  <c r="AF78" i="39"/>
  <c r="AF77" i="39"/>
  <c r="AF69" i="39"/>
  <c r="AE77" i="39"/>
  <c r="AE76" i="39"/>
  <c r="AE75" i="39"/>
  <c r="AE74" i="39"/>
  <c r="AE73" i="39"/>
  <c r="AE70" i="39"/>
  <c r="AE69" i="39"/>
  <c r="AE67" i="39"/>
  <c r="AE66" i="39"/>
  <c r="AE65" i="39"/>
  <c r="AE64" i="39"/>
  <c r="AE63" i="39"/>
  <c r="AE62" i="39"/>
  <c r="AE61" i="39"/>
  <c r="AE60" i="39"/>
  <c r="AD79" i="39"/>
  <c r="AD78" i="39"/>
  <c r="AD75" i="39"/>
  <c r="AD74" i="39"/>
  <c r="AD72" i="39"/>
  <c r="AD70" i="39"/>
  <c r="AD66" i="39"/>
  <c r="AD65" i="39"/>
  <c r="AH48" i="39"/>
  <c r="AH45" i="39"/>
  <c r="AH44" i="39"/>
  <c r="AH43" i="39"/>
  <c r="AH42" i="39"/>
  <c r="AH39" i="39"/>
  <c r="AH37" i="39"/>
  <c r="AH35" i="39"/>
  <c r="AH34" i="39"/>
  <c r="AH33" i="39"/>
  <c r="AH32" i="39"/>
  <c r="AH31" i="39"/>
  <c r="AH30" i="39"/>
  <c r="AG49" i="39"/>
  <c r="AG48" i="39"/>
  <c r="AG47" i="39"/>
  <c r="AG46" i="39"/>
  <c r="AG45" i="39"/>
  <c r="AG44" i="39"/>
  <c r="AG43" i="39"/>
  <c r="AG42" i="39"/>
  <c r="AG41" i="39"/>
  <c r="AG40" i="39"/>
  <c r="AG39" i="39"/>
  <c r="AG37" i="39"/>
  <c r="AG35" i="39"/>
  <c r="AG34" i="39"/>
  <c r="AG33" i="39"/>
  <c r="AG32" i="39"/>
  <c r="AG31" i="39"/>
  <c r="AG30" i="39"/>
  <c r="AF48" i="39"/>
  <c r="AF47" i="39"/>
  <c r="AF46" i="39"/>
  <c r="AF45" i="39"/>
  <c r="AF44" i="39"/>
  <c r="AF43" i="39"/>
  <c r="AF42" i="39"/>
  <c r="AF41" i="39"/>
  <c r="AF40" i="39"/>
  <c r="AF39" i="39"/>
  <c r="AF36" i="39"/>
  <c r="AF35" i="39"/>
  <c r="AF34" i="39"/>
  <c r="AF33" i="39"/>
  <c r="AF32" i="39"/>
  <c r="AF31" i="39"/>
  <c r="AF30" i="39"/>
  <c r="AE40" i="39"/>
  <c r="AE39" i="39"/>
  <c r="AE36" i="39"/>
  <c r="AE35" i="39"/>
  <c r="AE34" i="39"/>
  <c r="AE33" i="39"/>
  <c r="AE32" i="39"/>
  <c r="AE31" i="39"/>
  <c r="AE30" i="39"/>
  <c r="AD48" i="39"/>
  <c r="AD47" i="39"/>
  <c r="AD45" i="39"/>
  <c r="AD44" i="39"/>
  <c r="AD43" i="39"/>
  <c r="AD42" i="39"/>
  <c r="AD36" i="39"/>
  <c r="AD64" i="39"/>
  <c r="AD63" i="39"/>
  <c r="AD62" i="39"/>
  <c r="AD61" i="39"/>
  <c r="AD60" i="39"/>
  <c r="B199" i="39"/>
  <c r="B200" i="39"/>
  <c r="G168" i="39"/>
  <c r="S168" i="39"/>
  <c r="V168" i="39"/>
  <c r="G199" i="39"/>
  <c r="J199" i="39"/>
  <c r="M199" i="39"/>
  <c r="N199" i="39"/>
  <c r="S199" i="39"/>
  <c r="V199" i="39"/>
  <c r="G200" i="39"/>
  <c r="J200" i="39"/>
  <c r="M200" i="39"/>
  <c r="N200" i="39"/>
  <c r="S200" i="39"/>
  <c r="V200" i="39"/>
  <c r="AF72" i="39"/>
  <c r="N67" i="39"/>
  <c r="M67" i="39"/>
  <c r="J67" i="39"/>
  <c r="N66" i="39"/>
  <c r="M66" i="39"/>
  <c r="J66" i="39"/>
  <c r="N65" i="39"/>
  <c r="M65" i="39"/>
  <c r="J65" i="39"/>
  <c r="N63" i="39"/>
  <c r="M63" i="39"/>
  <c r="J63" i="39"/>
  <c r="N61" i="39"/>
  <c r="M61" i="39"/>
  <c r="J61" i="39"/>
  <c r="N60" i="39"/>
  <c r="M60" i="39"/>
  <c r="J60" i="39"/>
  <c r="N229" i="45" l="1"/>
  <c r="J52" i="39"/>
  <c r="M52" i="39"/>
  <c r="G53" i="39"/>
  <c r="J51" i="39"/>
  <c r="M51" i="39"/>
  <c r="J50" i="39"/>
  <c r="M50" i="39"/>
  <c r="N230" i="45" l="1"/>
  <c r="N231" i="45" s="1"/>
  <c r="N232" i="45" s="1"/>
  <c r="AD73" i="39"/>
  <c r="N64" i="39"/>
  <c r="N75" i="39"/>
  <c r="N76" i="39"/>
  <c r="N77" i="39"/>
  <c r="N78" i="39"/>
  <c r="N79" i="39"/>
  <c r="N80" i="39"/>
  <c r="N83" i="39"/>
  <c r="N84" i="39"/>
  <c r="N86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4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53" i="39"/>
  <c r="N54" i="39"/>
  <c r="N55" i="39"/>
  <c r="N56" i="39"/>
  <c r="N57" i="39"/>
  <c r="N58" i="39"/>
  <c r="N59" i="39"/>
  <c r="N62" i="39"/>
  <c r="N11" i="39"/>
  <c r="N10" i="39"/>
  <c r="M77" i="39"/>
  <c r="M78" i="39"/>
  <c r="M79" i="39"/>
  <c r="M80" i="39"/>
  <c r="M81" i="39"/>
  <c r="M83" i="39"/>
  <c r="M84" i="39"/>
  <c r="M85" i="39"/>
  <c r="M86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4" i="39"/>
  <c r="M36" i="39"/>
  <c r="M37" i="39"/>
  <c r="M38" i="39"/>
  <c r="M39" i="39"/>
  <c r="M40" i="39"/>
  <c r="M41" i="39"/>
  <c r="M42" i="39"/>
  <c r="M44" i="39"/>
  <c r="M46" i="39"/>
  <c r="M47" i="39"/>
  <c r="M48" i="39"/>
  <c r="M49" i="39"/>
  <c r="M53" i="39"/>
  <c r="M54" i="39"/>
  <c r="M55" i="39"/>
  <c r="M56" i="39"/>
  <c r="M57" i="39"/>
  <c r="M58" i="39"/>
  <c r="M59" i="39"/>
  <c r="M62" i="39"/>
  <c r="M64" i="39"/>
  <c r="M11" i="39"/>
  <c r="M10" i="39"/>
  <c r="W100" i="45" l="1"/>
  <c r="W119" i="45"/>
  <c r="W90" i="45"/>
  <c r="W151" i="45"/>
  <c r="W113" i="45"/>
  <c r="W140" i="45"/>
  <c r="W139" i="45"/>
  <c r="W130" i="45"/>
  <c r="W137" i="45"/>
  <c r="W145" i="45"/>
  <c r="W143" i="45"/>
  <c r="W141" i="45"/>
  <c r="W132" i="45"/>
  <c r="W131" i="45"/>
  <c r="W149" i="45"/>
  <c r="W136" i="45"/>
  <c r="W148" i="45"/>
  <c r="W138" i="45"/>
  <c r="W142" i="45"/>
  <c r="W147" i="45"/>
  <c r="W146" i="45"/>
  <c r="W134" i="45"/>
  <c r="W133" i="45"/>
  <c r="W144" i="45"/>
  <c r="W135" i="45"/>
  <c r="W94" i="45"/>
  <c r="W82" i="45"/>
  <c r="W109" i="45"/>
  <c r="W95" i="45"/>
  <c r="W114" i="45"/>
  <c r="W106" i="45"/>
  <c r="W122" i="45"/>
  <c r="W99" i="45"/>
  <c r="W121" i="45"/>
  <c r="W97" i="45"/>
  <c r="W108" i="45"/>
  <c r="W91" i="45"/>
  <c r="W129" i="45"/>
  <c r="W127" i="45"/>
  <c r="W86" i="45"/>
  <c r="W123" i="45"/>
  <c r="W111" i="45"/>
  <c r="W98" i="45"/>
  <c r="W117" i="45"/>
  <c r="W110" i="45"/>
  <c r="W116" i="45"/>
  <c r="W96" i="45"/>
  <c r="W85" i="45"/>
  <c r="W150" i="45"/>
  <c r="W84" i="45"/>
  <c r="W103" i="45"/>
  <c r="W105" i="45"/>
  <c r="W88" i="45"/>
  <c r="W128" i="45"/>
  <c r="W124" i="45"/>
  <c r="W112" i="45"/>
  <c r="W92" i="45"/>
  <c r="W101" i="45"/>
  <c r="W107" i="45"/>
  <c r="W102" i="45"/>
  <c r="W125" i="45"/>
  <c r="W87" i="45"/>
  <c r="W118" i="45"/>
  <c r="W115" i="45"/>
  <c r="W83" i="45"/>
  <c r="W93" i="45"/>
  <c r="W104" i="45"/>
  <c r="W126" i="45"/>
  <c r="W120" i="45"/>
  <c r="W89" i="45"/>
  <c r="M33" i="39"/>
  <c r="M35" i="39" s="1"/>
  <c r="N33" i="39"/>
  <c r="N35" i="39" s="1"/>
  <c r="W80" i="45" a="1"/>
  <c r="W77" i="45" a="1"/>
  <c r="W77" i="45" l="1"/>
  <c r="W79" i="45" s="1"/>
  <c r="W80" i="45"/>
  <c r="W75" i="45"/>
  <c r="V70" i="45" s="1"/>
  <c r="AE107" i="39"/>
  <c r="AE106" i="39"/>
  <c r="M43" i="39"/>
  <c r="N48" i="39"/>
  <c r="W72" i="45" l="1"/>
  <c r="AE122" i="39"/>
  <c r="M45" i="39"/>
  <c r="AE108" i="39"/>
  <c r="N49" i="39"/>
  <c r="N50" i="39" s="1"/>
  <c r="M74" i="39" l="1"/>
  <c r="M75" i="39" s="1"/>
  <c r="M76" i="39" s="1"/>
  <c r="M97" i="39" s="1"/>
  <c r="AE109" i="39"/>
  <c r="AE124" i="39"/>
  <c r="AE123" i="39"/>
  <c r="N51" i="39"/>
  <c r="AE110" i="39" l="1"/>
  <c r="AE111" i="39"/>
  <c r="AA115" i="39"/>
  <c r="AE115" i="39"/>
  <c r="AC108" i="39"/>
  <c r="Y113" i="39"/>
  <c r="AE113" i="39"/>
  <c r="AA113" i="39"/>
  <c r="AE112" i="39"/>
  <c r="AC114" i="39"/>
  <c r="Y110" i="39"/>
  <c r="AC115" i="39"/>
  <c r="Y111" i="39"/>
  <c r="AA108" i="39"/>
  <c r="AA106" i="39"/>
  <c r="Y114" i="39"/>
  <c r="AA112" i="39"/>
  <c r="AC113" i="39"/>
  <c r="AA109" i="39"/>
  <c r="AC107" i="39"/>
  <c r="AA114" i="39"/>
  <c r="AA110" i="39"/>
  <c r="AC109" i="39"/>
  <c r="Y115" i="39"/>
  <c r="AE114" i="39"/>
  <c r="AA107" i="39"/>
  <c r="Y107" i="39"/>
  <c r="AC111" i="39"/>
  <c r="AC112" i="39"/>
  <c r="Y112" i="39"/>
  <c r="AC110" i="39"/>
  <c r="Y108" i="39"/>
  <c r="Y109" i="39"/>
  <c r="Y106" i="39"/>
  <c r="AA111" i="39"/>
  <c r="AC106" i="39"/>
  <c r="AE125" i="39"/>
  <c r="N52" i="39"/>
  <c r="G48" i="39"/>
  <c r="J48" i="39"/>
  <c r="G49" i="39"/>
  <c r="J49" i="39"/>
  <c r="G50" i="39"/>
  <c r="G51" i="39"/>
  <c r="G52" i="39"/>
  <c r="J53" i="39"/>
  <c r="G54" i="39"/>
  <c r="J54" i="39"/>
  <c r="G55" i="39"/>
  <c r="J55" i="39"/>
  <c r="V27" i="39"/>
  <c r="V28" i="39"/>
  <c r="V29" i="39"/>
  <c r="V30" i="39"/>
  <c r="V31" i="39"/>
  <c r="V32" i="39"/>
  <c r="V33" i="39"/>
  <c r="V34" i="39"/>
  <c r="V35" i="39"/>
  <c r="V36" i="39"/>
  <c r="V37" i="39"/>
  <c r="V38" i="39"/>
  <c r="V39" i="39"/>
  <c r="J56" i="39"/>
  <c r="J57" i="39"/>
  <c r="J58" i="39"/>
  <c r="J59" i="39"/>
  <c r="J62" i="39"/>
  <c r="J64" i="39"/>
  <c r="J68" i="39"/>
  <c r="J69" i="39"/>
  <c r="J70" i="39"/>
  <c r="J72" i="39"/>
  <c r="J74" i="39"/>
  <c r="J75" i="39"/>
  <c r="J76" i="39"/>
  <c r="J77" i="39"/>
  <c r="J78" i="39"/>
  <c r="J79" i="39"/>
  <c r="J80" i="39"/>
  <c r="J81" i="39"/>
  <c r="J82" i="39"/>
  <c r="J83" i="39"/>
  <c r="J84" i="39"/>
  <c r="J85" i="39"/>
  <c r="J86" i="39"/>
  <c r="J87" i="39"/>
  <c r="G56" i="39"/>
  <c r="G57" i="39"/>
  <c r="G58" i="39"/>
  <c r="G59" i="39"/>
  <c r="G60" i="39"/>
  <c r="G61" i="39"/>
  <c r="G62" i="39"/>
  <c r="G63" i="39"/>
  <c r="G64" i="39"/>
  <c r="G65" i="39"/>
  <c r="G66" i="39"/>
  <c r="G67" i="39"/>
  <c r="G68" i="39"/>
  <c r="G69" i="39"/>
  <c r="G70" i="39"/>
  <c r="G72" i="39"/>
  <c r="G74" i="39"/>
  <c r="G75" i="39"/>
  <c r="G76" i="39"/>
  <c r="G77" i="39"/>
  <c r="G78" i="39"/>
  <c r="G79" i="39"/>
  <c r="G80" i="39"/>
  <c r="G81" i="39"/>
  <c r="G82" i="39"/>
  <c r="G83" i="39"/>
  <c r="G84" i="39"/>
  <c r="G85" i="39"/>
  <c r="G86" i="39"/>
  <c r="G87" i="39"/>
  <c r="G88" i="39"/>
  <c r="G89" i="39"/>
  <c r="G90" i="39"/>
  <c r="G91" i="39"/>
  <c r="G92" i="39"/>
  <c r="G93" i="39"/>
  <c r="G94" i="39"/>
  <c r="G95" i="39"/>
  <c r="G96" i="39"/>
  <c r="G97" i="39"/>
  <c r="G98" i="39"/>
  <c r="AD71" i="39" s="1"/>
  <c r="S47" i="39"/>
  <c r="J47" i="39"/>
  <c r="G47" i="39"/>
  <c r="S46" i="39"/>
  <c r="J46" i="39"/>
  <c r="G46" i="39"/>
  <c r="S45" i="39"/>
  <c r="J45" i="39"/>
  <c r="G45" i="39"/>
  <c r="S44" i="39"/>
  <c r="J44" i="39"/>
  <c r="G44" i="39"/>
  <c r="S43" i="39"/>
  <c r="J43" i="39"/>
  <c r="G43" i="39"/>
  <c r="S42" i="39"/>
  <c r="J42" i="39"/>
  <c r="G42" i="39"/>
  <c r="S41" i="39"/>
  <c r="J41" i="39"/>
  <c r="G41" i="39"/>
  <c r="S40" i="39"/>
  <c r="J40" i="39"/>
  <c r="G40" i="39"/>
  <c r="S39" i="39"/>
  <c r="Q39" i="39"/>
  <c r="J39" i="39"/>
  <c r="G39" i="39"/>
  <c r="Q38" i="39"/>
  <c r="J38" i="39"/>
  <c r="G38" i="39"/>
  <c r="S37" i="39"/>
  <c r="J37" i="39"/>
  <c r="G37" i="39"/>
  <c r="S36" i="39"/>
  <c r="Q36" i="39"/>
  <c r="J36" i="39"/>
  <c r="G36" i="39"/>
  <c r="S35" i="39"/>
  <c r="J35" i="39"/>
  <c r="G35" i="39"/>
  <c r="S34" i="39"/>
  <c r="J34" i="39"/>
  <c r="G34" i="39"/>
  <c r="G99" i="39"/>
  <c r="S99" i="39"/>
  <c r="G100" i="39"/>
  <c r="S100" i="39"/>
  <c r="G101" i="39"/>
  <c r="S101" i="39"/>
  <c r="S167" i="39"/>
  <c r="G167" i="39"/>
  <c r="V167" i="39"/>
  <c r="S166" i="39"/>
  <c r="G166" i="39"/>
  <c r="V166" i="39"/>
  <c r="S165" i="39"/>
  <c r="G165" i="39"/>
  <c r="V165" i="39"/>
  <c r="S164" i="39"/>
  <c r="G164" i="39"/>
  <c r="V164" i="39"/>
  <c r="S163" i="39"/>
  <c r="G163" i="39"/>
  <c r="V163" i="39"/>
  <c r="S162" i="39"/>
  <c r="G162" i="39"/>
  <c r="V162" i="39"/>
  <c r="S161" i="39"/>
  <c r="G161" i="39"/>
  <c r="V161" i="39"/>
  <c r="S160" i="39"/>
  <c r="G160" i="39"/>
  <c r="V160" i="39"/>
  <c r="S159" i="39"/>
  <c r="G159" i="39"/>
  <c r="BF16" i="39"/>
  <c r="V159" i="39"/>
  <c r="S158" i="39"/>
  <c r="G158" i="39"/>
  <c r="AO173" i="39"/>
  <c r="V158" i="39"/>
  <c r="S157" i="39"/>
  <c r="G157" i="39"/>
  <c r="AO172" i="39"/>
  <c r="V157" i="39"/>
  <c r="S156" i="39"/>
  <c r="G156" i="39"/>
  <c r="V156" i="39"/>
  <c r="S155" i="39"/>
  <c r="G155" i="39"/>
  <c r="AO170" i="39"/>
  <c r="V155" i="39"/>
  <c r="S154" i="39"/>
  <c r="G154" i="39"/>
  <c r="AO169" i="39"/>
  <c r="V154" i="39"/>
  <c r="S153" i="39"/>
  <c r="G153" i="39"/>
  <c r="AO168" i="39"/>
  <c r="V153" i="39"/>
  <c r="S152" i="39"/>
  <c r="G152" i="39"/>
  <c r="AO167" i="39"/>
  <c r="V152" i="39"/>
  <c r="S151" i="39"/>
  <c r="G151" i="39"/>
  <c r="AO166" i="39"/>
  <c r="V151" i="39"/>
  <c r="S150" i="39"/>
  <c r="G150" i="39"/>
  <c r="AO165" i="39"/>
  <c r="V150" i="39"/>
  <c r="S149" i="39"/>
  <c r="G149" i="39"/>
  <c r="AO164" i="39"/>
  <c r="V149" i="39"/>
  <c r="S148" i="39"/>
  <c r="G148" i="39"/>
  <c r="A129" i="39"/>
  <c r="AO163" i="39"/>
  <c r="V148" i="39"/>
  <c r="S147" i="39"/>
  <c r="G147" i="39"/>
  <c r="AO162" i="39"/>
  <c r="V147" i="39"/>
  <c r="S146" i="39"/>
  <c r="G146" i="39"/>
  <c r="AO161" i="39"/>
  <c r="V146" i="39"/>
  <c r="S145" i="39"/>
  <c r="G145" i="39"/>
  <c r="AO160" i="39"/>
  <c r="V145" i="39"/>
  <c r="S144" i="39"/>
  <c r="G144" i="39"/>
  <c r="AO159" i="39"/>
  <c r="V144" i="39"/>
  <c r="S143" i="39"/>
  <c r="G143" i="39"/>
  <c r="AO158" i="39"/>
  <c r="V143" i="39"/>
  <c r="S142" i="39"/>
  <c r="G142" i="39"/>
  <c r="AO157" i="39"/>
  <c r="V142" i="39"/>
  <c r="S141" i="39"/>
  <c r="G141" i="39"/>
  <c r="AO156" i="39"/>
  <c r="S140" i="39"/>
  <c r="G140" i="39"/>
  <c r="AO155" i="39"/>
  <c r="S139" i="39"/>
  <c r="G139" i="39"/>
  <c r="AO154" i="39"/>
  <c r="S138" i="39"/>
  <c r="G138" i="39"/>
  <c r="S137" i="39"/>
  <c r="G137" i="39"/>
  <c r="AX7" i="39"/>
  <c r="BD13" i="39" s="1"/>
  <c r="S136" i="39"/>
  <c r="G136" i="39"/>
  <c r="AO151" i="39"/>
  <c r="S135" i="39"/>
  <c r="G135" i="39"/>
  <c r="AO150" i="39"/>
  <c r="S134" i="39"/>
  <c r="G134" i="39"/>
  <c r="AO149" i="39"/>
  <c r="S133" i="39"/>
  <c r="AO148" i="39"/>
  <c r="S132" i="39"/>
  <c r="AO147" i="39"/>
  <c r="S131" i="39"/>
  <c r="AO146" i="39"/>
  <c r="S130" i="39"/>
  <c r="AO145" i="39"/>
  <c r="S129" i="39"/>
  <c r="AO144" i="39"/>
  <c r="S128" i="39"/>
  <c r="G128" i="39"/>
  <c r="A130" i="39"/>
  <c r="AO143" i="39"/>
  <c r="S127" i="39"/>
  <c r="G127" i="39"/>
  <c r="AO142" i="39"/>
  <c r="A128" i="39"/>
  <c r="AO141" i="39"/>
  <c r="S125" i="39"/>
  <c r="G125" i="39"/>
  <c r="AO140" i="39"/>
  <c r="S124" i="39"/>
  <c r="G124" i="39"/>
  <c r="AO139" i="39"/>
  <c r="S123" i="39"/>
  <c r="AO138" i="39"/>
  <c r="S122" i="39"/>
  <c r="G122" i="39"/>
  <c r="AO137" i="39"/>
  <c r="S121" i="39"/>
  <c r="G121" i="39"/>
  <c r="AO136" i="39"/>
  <c r="S120" i="39"/>
  <c r="G120" i="39"/>
  <c r="AO135" i="39"/>
  <c r="S119" i="39"/>
  <c r="G119" i="39"/>
  <c r="AO134" i="39"/>
  <c r="S118" i="39"/>
  <c r="G118" i="39"/>
  <c r="AO133" i="39"/>
  <c r="S117" i="39"/>
  <c r="G117" i="39"/>
  <c r="AO132" i="39"/>
  <c r="S116" i="39"/>
  <c r="G116" i="39"/>
  <c r="S115" i="39"/>
  <c r="G115" i="39"/>
  <c r="AR130" i="39"/>
  <c r="AX6" i="39" s="1"/>
  <c r="S114" i="39"/>
  <c r="G114" i="39"/>
  <c r="AO129" i="39"/>
  <c r="S113" i="39"/>
  <c r="G113" i="39"/>
  <c r="AO128" i="39"/>
  <c r="S112" i="39"/>
  <c r="G112" i="39"/>
  <c r="AO127" i="39"/>
  <c r="S111" i="39"/>
  <c r="G111" i="39"/>
  <c r="AD41" i="39" s="1"/>
  <c r="AO126" i="39"/>
  <c r="S110" i="39"/>
  <c r="G110" i="39"/>
  <c r="AO125" i="39"/>
  <c r="S109" i="39"/>
  <c r="G109" i="39"/>
  <c r="AO124" i="39"/>
  <c r="S108" i="39"/>
  <c r="G108" i="39"/>
  <c r="AO123" i="39"/>
  <c r="S107" i="39"/>
  <c r="G107" i="39"/>
  <c r="AO122" i="39"/>
  <c r="S106" i="39"/>
  <c r="G106" i="39"/>
  <c r="AO121" i="39"/>
  <c r="S105" i="39"/>
  <c r="AO120" i="39"/>
  <c r="S104" i="39"/>
  <c r="G104" i="39"/>
  <c r="AO119" i="39"/>
  <c r="S103" i="39"/>
  <c r="G103" i="39"/>
  <c r="AO118" i="39"/>
  <c r="S102" i="39"/>
  <c r="G102" i="39"/>
  <c r="AO117" i="39"/>
  <c r="AO116" i="39"/>
  <c r="AO115" i="39"/>
  <c r="AO114" i="39"/>
  <c r="AO113" i="39"/>
  <c r="AO112" i="39"/>
  <c r="AO111" i="39"/>
  <c r="AO110" i="39"/>
  <c r="AR108" i="39"/>
  <c r="AX5" i="39" s="1"/>
  <c r="AO107" i="39"/>
  <c r="AO106" i="39"/>
  <c r="AO105" i="39"/>
  <c r="AO104" i="39"/>
  <c r="AO103" i="39"/>
  <c r="AO102" i="39"/>
  <c r="AO101" i="39"/>
  <c r="AO100" i="39"/>
  <c r="AO99" i="39"/>
  <c r="AF85" i="39"/>
  <c r="AE85" i="39"/>
  <c r="AE89" i="39" s="1"/>
  <c r="AD85" i="39"/>
  <c r="AO98" i="39"/>
  <c r="AO97" i="39"/>
  <c r="AO96" i="39"/>
  <c r="AO95" i="39"/>
  <c r="AO94" i="39"/>
  <c r="AO93" i="39"/>
  <c r="AO92" i="39"/>
  <c r="AO91" i="39"/>
  <c r="AO90" i="39"/>
  <c r="AO89" i="39"/>
  <c r="AO88" i="39"/>
  <c r="AO87" i="39"/>
  <c r="AO86" i="39"/>
  <c r="AO85" i="39"/>
  <c r="AO84" i="39"/>
  <c r="AO83" i="39"/>
  <c r="AO82" i="39"/>
  <c r="AO81" i="39"/>
  <c r="AO80" i="39"/>
  <c r="AO79" i="39"/>
  <c r="AO78" i="39"/>
  <c r="AO77" i="39"/>
  <c r="AO76" i="39"/>
  <c r="AO75" i="39"/>
  <c r="AO74" i="39"/>
  <c r="AO73" i="39"/>
  <c r="AO72" i="39"/>
  <c r="AO71" i="39"/>
  <c r="AO70" i="39"/>
  <c r="AO69" i="39"/>
  <c r="AO68" i="39"/>
  <c r="AO67" i="39"/>
  <c r="AO66" i="39"/>
  <c r="AO65" i="39"/>
  <c r="AO64" i="39"/>
  <c r="AO63" i="39"/>
  <c r="AO62" i="39"/>
  <c r="AO47" i="39"/>
  <c r="AO46" i="39"/>
  <c r="AO45" i="39"/>
  <c r="AO44" i="39"/>
  <c r="AO43" i="39"/>
  <c r="AO42" i="39"/>
  <c r="AO41" i="39"/>
  <c r="AO40" i="39"/>
  <c r="AO39" i="39"/>
  <c r="AO38" i="39"/>
  <c r="AO37" i="39"/>
  <c r="AO36" i="39"/>
  <c r="AO35" i="39"/>
  <c r="AO34" i="39"/>
  <c r="S33" i="39"/>
  <c r="J33" i="39"/>
  <c r="G33" i="39"/>
  <c r="AO33" i="39"/>
  <c r="S32" i="39"/>
  <c r="J32" i="39"/>
  <c r="G32" i="39"/>
  <c r="BB32" i="39"/>
  <c r="AO32" i="39"/>
  <c r="S31" i="39"/>
  <c r="J31" i="39"/>
  <c r="G31" i="39"/>
  <c r="AO31" i="39"/>
  <c r="S30" i="39"/>
  <c r="J30" i="39"/>
  <c r="G30" i="39"/>
  <c r="AO30" i="39"/>
  <c r="S29" i="39"/>
  <c r="J29" i="39"/>
  <c r="G29" i="39"/>
  <c r="AO29" i="39"/>
  <c r="S28" i="39"/>
  <c r="J28" i="39"/>
  <c r="G28" i="39"/>
  <c r="AO28" i="39"/>
  <c r="S27" i="39"/>
  <c r="J27" i="39"/>
  <c r="G27" i="39"/>
  <c r="AO27" i="39"/>
  <c r="V26" i="39"/>
  <c r="S26" i="39"/>
  <c r="J26" i="39"/>
  <c r="G26" i="39"/>
  <c r="AO26" i="39"/>
  <c r="V25" i="39"/>
  <c r="S25" i="39"/>
  <c r="Q25" i="39"/>
  <c r="J25" i="39"/>
  <c r="G25" i="39"/>
  <c r="AO25" i="39"/>
  <c r="V24" i="39"/>
  <c r="S24" i="39"/>
  <c r="Q24" i="39"/>
  <c r="J24" i="39"/>
  <c r="G24" i="39"/>
  <c r="AW24" i="39"/>
  <c r="AO24" i="39"/>
  <c r="V23" i="39"/>
  <c r="S23" i="39"/>
  <c r="Q23" i="39"/>
  <c r="J23" i="39"/>
  <c r="G23" i="39"/>
  <c r="AO23" i="39"/>
  <c r="AO22" i="39"/>
  <c r="V22" i="39"/>
  <c r="S22" i="39"/>
  <c r="J22" i="39"/>
  <c r="G22" i="39"/>
  <c r="AO21" i="39"/>
  <c r="V21" i="39"/>
  <c r="S21" i="39"/>
  <c r="Q21" i="39"/>
  <c r="J21" i="39"/>
  <c r="G21" i="39"/>
  <c r="AO20" i="39"/>
  <c r="V20" i="39"/>
  <c r="S20" i="39"/>
  <c r="J20" i="39"/>
  <c r="G20" i="39"/>
  <c r="AO19" i="39"/>
  <c r="V19" i="39"/>
  <c r="S19" i="39"/>
  <c r="Q19" i="39"/>
  <c r="J19" i="39"/>
  <c r="G19" i="39"/>
  <c r="AO18" i="39"/>
  <c r="V18" i="39"/>
  <c r="S18" i="39"/>
  <c r="Q18" i="39"/>
  <c r="J18" i="39"/>
  <c r="G18" i="39"/>
  <c r="AO17" i="39"/>
  <c r="AC17" i="39"/>
  <c r="V17" i="39"/>
  <c r="S17" i="39"/>
  <c r="Q17" i="39"/>
  <c r="J17" i="39"/>
  <c r="G17" i="39"/>
  <c r="AO16" i="39"/>
  <c r="AD16" i="39"/>
  <c r="V16" i="39"/>
  <c r="S16" i="39"/>
  <c r="Q16" i="39"/>
  <c r="J16" i="39"/>
  <c r="G16" i="39"/>
  <c r="AO15" i="39"/>
  <c r="AD15" i="39"/>
  <c r="V15" i="39"/>
  <c r="S15" i="39"/>
  <c r="Q15" i="39"/>
  <c r="J15" i="39"/>
  <c r="G15" i="39"/>
  <c r="AO14" i="39"/>
  <c r="AD14" i="39"/>
  <c r="V14" i="39"/>
  <c r="S14" i="39"/>
  <c r="Q14" i="39"/>
  <c r="J14" i="39"/>
  <c r="AO13" i="39"/>
  <c r="AD13" i="39"/>
  <c r="V13" i="39"/>
  <c r="S13" i="39"/>
  <c r="Q13" i="39"/>
  <c r="J13" i="39"/>
  <c r="G13" i="39"/>
  <c r="AO12" i="39"/>
  <c r="AD12" i="39"/>
  <c r="V12" i="39"/>
  <c r="S12" i="39"/>
  <c r="Q12" i="39"/>
  <c r="J12" i="39"/>
  <c r="G12" i="39"/>
  <c r="AO11" i="39"/>
  <c r="AD11" i="39"/>
  <c r="V11" i="39"/>
  <c r="S11" i="39"/>
  <c r="Q11" i="39"/>
  <c r="J11" i="39"/>
  <c r="G11" i="39"/>
  <c r="AO10" i="39"/>
  <c r="AD10" i="39"/>
  <c r="V10" i="39"/>
  <c r="S10" i="39"/>
  <c r="Q10" i="39"/>
  <c r="J10" i="39"/>
  <c r="G10" i="39"/>
  <c r="B10" i="39"/>
  <c r="A10" i="39" s="1"/>
  <c r="AO9" i="39"/>
  <c r="AD9" i="39"/>
  <c r="AO8" i="39"/>
  <c r="AO7" i="39"/>
  <c r="AD7" i="39"/>
  <c r="AO6" i="39"/>
  <c r="AO5" i="39"/>
  <c r="AY5" i="39" l="1"/>
  <c r="K147" i="39"/>
  <c r="K128" i="39"/>
  <c r="K135" i="39"/>
  <c r="Q135" i="39" s="1"/>
  <c r="K142" i="39"/>
  <c r="Q142" i="39" s="1"/>
  <c r="K165" i="39"/>
  <c r="K145" i="39"/>
  <c r="Q145" i="39" s="1"/>
  <c r="K134" i="39"/>
  <c r="Q134" i="39" s="1"/>
  <c r="K164" i="39"/>
  <c r="K148" i="39"/>
  <c r="K140" i="39"/>
  <c r="K159" i="39"/>
  <c r="K162" i="39"/>
  <c r="Q162" i="39" s="1"/>
  <c r="K161" i="39"/>
  <c r="K127" i="39"/>
  <c r="Q127" i="39" s="1"/>
  <c r="K157" i="39"/>
  <c r="K166" i="39"/>
  <c r="K143" i="39"/>
  <c r="Q143" i="39" s="1"/>
  <c r="K154" i="39"/>
  <c r="Q154" i="39" s="1"/>
  <c r="K155" i="39"/>
  <c r="Q155" i="39" s="1"/>
  <c r="K149" i="39"/>
  <c r="K156" i="39"/>
  <c r="K152" i="39"/>
  <c r="Q152" i="39" s="1"/>
  <c r="K136" i="39"/>
  <c r="Q136" i="39" s="1"/>
  <c r="K146" i="39"/>
  <c r="K168" i="39"/>
  <c r="Q168" i="39" s="1"/>
  <c r="K137" i="39"/>
  <c r="Q137" i="39" s="1"/>
  <c r="K141" i="39"/>
  <c r="Q141" i="39" s="1"/>
  <c r="K150" i="39"/>
  <c r="K138" i="39"/>
  <c r="K160" i="39"/>
  <c r="K167" i="39"/>
  <c r="Q167" i="39" s="1"/>
  <c r="K163" i="39"/>
  <c r="K139" i="39"/>
  <c r="Q139" i="39" s="1"/>
  <c r="K144" i="39"/>
  <c r="K151" i="39"/>
  <c r="K158" i="39"/>
  <c r="Q158" i="39" s="1"/>
  <c r="K153" i="39"/>
  <c r="K200" i="39"/>
  <c r="Q200" i="39" s="1"/>
  <c r="K199" i="39"/>
  <c r="Q199" i="39" s="1"/>
  <c r="AD40" i="39"/>
  <c r="AD46" i="39"/>
  <c r="AD38" i="39"/>
  <c r="AD68" i="39"/>
  <c r="AH38" i="39"/>
  <c r="AF68" i="39"/>
  <c r="AD69" i="39"/>
  <c r="AC69" i="39" s="1"/>
  <c r="Y69" i="39" s="1"/>
  <c r="AD39" i="39"/>
  <c r="AC39" i="39" s="1"/>
  <c r="Y39" i="39" s="1"/>
  <c r="K106" i="39"/>
  <c r="Q106" i="39" s="1"/>
  <c r="K100" i="39"/>
  <c r="Q100" i="39" s="1"/>
  <c r="K103" i="39"/>
  <c r="Q103" i="39" s="1"/>
  <c r="K104" i="39"/>
  <c r="Q104" i="39" s="1"/>
  <c r="K101" i="39"/>
  <c r="Q101" i="39" s="1"/>
  <c r="K99" i="39"/>
  <c r="Q99" i="39" s="1"/>
  <c r="K102" i="39"/>
  <c r="Q102" i="39" s="1"/>
  <c r="K97" i="39"/>
  <c r="Q97" i="39" s="1"/>
  <c r="AF70" i="39"/>
  <c r="AC70" i="39" s="1"/>
  <c r="Y70" i="39" s="1"/>
  <c r="AH40" i="39"/>
  <c r="AH41" i="39"/>
  <c r="K93" i="39"/>
  <c r="Q93" i="39" s="1"/>
  <c r="K96" i="39"/>
  <c r="Q96" i="39" s="1"/>
  <c r="K95" i="39"/>
  <c r="Q95" i="39" s="1"/>
  <c r="K94" i="39"/>
  <c r="Q94" i="39" s="1"/>
  <c r="AE71" i="39"/>
  <c r="AQ166" i="39"/>
  <c r="K89" i="39"/>
  <c r="Q89" i="39" s="1"/>
  <c r="K91" i="39"/>
  <c r="Q91" i="39" s="1"/>
  <c r="K90" i="39"/>
  <c r="Q90" i="39" s="1"/>
  <c r="K92" i="39"/>
  <c r="Q92" i="39" s="1"/>
  <c r="Y116" i="39"/>
  <c r="V8" i="39"/>
  <c r="BB10" i="39"/>
  <c r="N70" i="39"/>
  <c r="AE127" i="39" s="1"/>
  <c r="AN58" i="39"/>
  <c r="AP58" i="39" s="1"/>
  <c r="AN53" i="39"/>
  <c r="AP53" i="39" s="1"/>
  <c r="AN56" i="39"/>
  <c r="AP56" i="39" s="1"/>
  <c r="AN55" i="39"/>
  <c r="AP55" i="39" s="1"/>
  <c r="AQ60" i="39"/>
  <c r="AQ56" i="39"/>
  <c r="AQ52" i="39"/>
  <c r="AQ48" i="39"/>
  <c r="AN48" i="39"/>
  <c r="AP48" i="39" s="1"/>
  <c r="AQ54" i="39"/>
  <c r="AN57" i="39"/>
  <c r="AP57" i="39" s="1"/>
  <c r="AN59" i="39"/>
  <c r="AP59" i="39" s="1"/>
  <c r="AQ57" i="39"/>
  <c r="AQ49" i="39"/>
  <c r="AN54" i="39"/>
  <c r="AP54" i="39" s="1"/>
  <c r="AN49" i="39"/>
  <c r="AP49" i="39" s="1"/>
  <c r="AN52" i="39"/>
  <c r="AP52" i="39" s="1"/>
  <c r="AN51" i="39"/>
  <c r="AP51" i="39" s="1"/>
  <c r="AQ59" i="39"/>
  <c r="AQ55" i="39"/>
  <c r="AQ51" i="39"/>
  <c r="AN61" i="39"/>
  <c r="AP61" i="39" s="1"/>
  <c r="AN50" i="39"/>
  <c r="AP50" i="39" s="1"/>
  <c r="AQ58" i="39"/>
  <c r="AQ50" i="39"/>
  <c r="AN60" i="39"/>
  <c r="AP60" i="39" s="1"/>
  <c r="AQ61" i="39"/>
  <c r="AQ53" i="39"/>
  <c r="K84" i="39"/>
  <c r="Q84" i="39" s="1"/>
  <c r="K80" i="39"/>
  <c r="Q80" i="39" s="1"/>
  <c r="K87" i="39"/>
  <c r="Q87" i="39" s="1"/>
  <c r="K83" i="39"/>
  <c r="Q83" i="39" s="1"/>
  <c r="K79" i="39"/>
  <c r="Q79" i="39" s="1"/>
  <c r="AF73" i="39"/>
  <c r="Y73" i="39" s="1"/>
  <c r="AE43" i="39"/>
  <c r="Y43" i="39" s="1"/>
  <c r="K86" i="39"/>
  <c r="Q86" i="39" s="1"/>
  <c r="K82" i="39"/>
  <c r="Q82" i="39" s="1"/>
  <c r="K78" i="39"/>
  <c r="Q78" i="39" s="1"/>
  <c r="K85" i="39"/>
  <c r="Q85" i="39" s="1"/>
  <c r="K77" i="39"/>
  <c r="Q77" i="39" s="1"/>
  <c r="AQ67" i="39"/>
  <c r="AQ71" i="39"/>
  <c r="AQ75" i="39"/>
  <c r="AQ72" i="39"/>
  <c r="AQ73" i="39"/>
  <c r="AQ70" i="39"/>
  <c r="AQ74" i="39"/>
  <c r="AQ68" i="39"/>
  <c r="AQ76" i="39"/>
  <c r="AQ69" i="39"/>
  <c r="AE44" i="39"/>
  <c r="Y44" i="39" s="1"/>
  <c r="AF74" i="39"/>
  <c r="Y74" i="39" s="1"/>
  <c r="K71" i="39"/>
  <c r="Q71" i="39" s="1"/>
  <c r="K73" i="39"/>
  <c r="Q73" i="39" s="1"/>
  <c r="AE126" i="39"/>
  <c r="AH9" i="39"/>
  <c r="AF49" i="39"/>
  <c r="AH8" i="39"/>
  <c r="AH11" i="39"/>
  <c r="AF63" i="39"/>
  <c r="Y63" i="39" s="1"/>
  <c r="AD33" i="39"/>
  <c r="Y33" i="39" s="1"/>
  <c r="AE47" i="39"/>
  <c r="AD77" i="39"/>
  <c r="AC77" i="39" s="1"/>
  <c r="AE48" i="39"/>
  <c r="AC48" i="39" s="1"/>
  <c r="Y48" i="39" s="1"/>
  <c r="AE78" i="39"/>
  <c r="AC78" i="39" s="1"/>
  <c r="AF62" i="39"/>
  <c r="Y62" i="39" s="1"/>
  <c r="AD32" i="39"/>
  <c r="Y32" i="39" s="1"/>
  <c r="AE37" i="39"/>
  <c r="AH46" i="39"/>
  <c r="AD76" i="39"/>
  <c r="AH49" i="39"/>
  <c r="AF71" i="39"/>
  <c r="AE41" i="39"/>
  <c r="AF61" i="39"/>
  <c r="Y61" i="39" s="1"/>
  <c r="AD31" i="39"/>
  <c r="Y31" i="39" s="1"/>
  <c r="AG9" i="39"/>
  <c r="AF67" i="39"/>
  <c r="AF37" i="39"/>
  <c r="AH47" i="39"/>
  <c r="AE46" i="39"/>
  <c r="AF76" i="39"/>
  <c r="AE79" i="39"/>
  <c r="AD49" i="39"/>
  <c r="AD30" i="39"/>
  <c r="AF60" i="39"/>
  <c r="AH7" i="39"/>
  <c r="AF64" i="39"/>
  <c r="Y64" i="39" s="1"/>
  <c r="AD34" i="39"/>
  <c r="Y34" i="39" s="1"/>
  <c r="AF65" i="39"/>
  <c r="Y65" i="39" s="1"/>
  <c r="AD35" i="39"/>
  <c r="Y35" i="39" s="1"/>
  <c r="AD37" i="39"/>
  <c r="AD67" i="39"/>
  <c r="AG36" i="39"/>
  <c r="AF66" i="39"/>
  <c r="Y66" i="39" s="1"/>
  <c r="AH36" i="39"/>
  <c r="AF79" i="39"/>
  <c r="AE49" i="39"/>
  <c r="AF75" i="39"/>
  <c r="Y75" i="39" s="1"/>
  <c r="AE45" i="39"/>
  <c r="Y45" i="39" s="1"/>
  <c r="AE42" i="39"/>
  <c r="AE72" i="39"/>
  <c r="Y72" i="39" s="1"/>
  <c r="AG11" i="39"/>
  <c r="K66" i="39"/>
  <c r="Q66" i="39" s="1"/>
  <c r="K67" i="39"/>
  <c r="Q67" i="39" s="1"/>
  <c r="Q88" i="39"/>
  <c r="K68" i="39"/>
  <c r="Q68" i="39" s="1"/>
  <c r="Q107" i="39"/>
  <c r="K56" i="39"/>
  <c r="Q56" i="39" s="1"/>
  <c r="K64" i="39"/>
  <c r="Q64" i="39" s="1"/>
  <c r="K59" i="39"/>
  <c r="Q59" i="39" s="1"/>
  <c r="K53" i="39"/>
  <c r="Q53" i="39" s="1"/>
  <c r="AG7" i="39"/>
  <c r="K58" i="39"/>
  <c r="Q58" i="39" s="1"/>
  <c r="K48" i="39"/>
  <c r="Q48" i="39" s="1"/>
  <c r="K43" i="39"/>
  <c r="Q43" i="39" s="1"/>
  <c r="K62" i="39"/>
  <c r="Q62" i="39" s="1"/>
  <c r="K57" i="39"/>
  <c r="Q57" i="39" s="1"/>
  <c r="K54" i="39"/>
  <c r="Q54" i="39" s="1"/>
  <c r="K61" i="39"/>
  <c r="Q61" i="39" s="1"/>
  <c r="K63" i="39"/>
  <c r="Q63" i="39" s="1"/>
  <c r="K60" i="39"/>
  <c r="Q60" i="39" s="1"/>
  <c r="K51" i="39"/>
  <c r="Q51" i="39" s="1"/>
  <c r="K50" i="39"/>
  <c r="Q50" i="39" s="1"/>
  <c r="K52" i="39"/>
  <c r="Q52" i="39" s="1"/>
  <c r="K49" i="39"/>
  <c r="Q49" i="39" s="1"/>
  <c r="AG8" i="39"/>
  <c r="AN9" i="39"/>
  <c r="AP9" i="39" s="1"/>
  <c r="AQ7" i="39"/>
  <c r="AQ8" i="39"/>
  <c r="AN5" i="39"/>
  <c r="AP5" i="39" s="1"/>
  <c r="K34" i="39"/>
  <c r="Q34" i="39" s="1"/>
  <c r="K47" i="39"/>
  <c r="Q47" i="39" s="1"/>
  <c r="K45" i="39"/>
  <c r="Q45" i="39" s="1"/>
  <c r="K41" i="39"/>
  <c r="Q41" i="39" s="1"/>
  <c r="K42" i="39"/>
  <c r="Q42" i="39" s="1"/>
  <c r="AN6" i="39"/>
  <c r="AP6" i="39" s="1"/>
  <c r="AN26" i="39"/>
  <c r="AP26" i="39" s="1"/>
  <c r="AQ11" i="39"/>
  <c r="AQ23" i="39"/>
  <c r="AQ9" i="39"/>
  <c r="AN18" i="39"/>
  <c r="AP18" i="39" s="1"/>
  <c r="AN8" i="39"/>
  <c r="AP8" i="39" s="1"/>
  <c r="AN10" i="39"/>
  <c r="AP10" i="39" s="1"/>
  <c r="K44" i="39"/>
  <c r="Q44" i="39" s="1"/>
  <c r="K37" i="39"/>
  <c r="Q37" i="39" s="1"/>
  <c r="AN13" i="39"/>
  <c r="AP13" i="39" s="1"/>
  <c r="AQ14" i="39"/>
  <c r="AN16" i="39"/>
  <c r="AP16" i="39" s="1"/>
  <c r="AN19" i="39"/>
  <c r="AP19" i="39" s="1"/>
  <c r="AQ20" i="39"/>
  <c r="AN24" i="39"/>
  <c r="AP24" i="39" s="1"/>
  <c r="AQ28" i="39"/>
  <c r="AN29" i="39"/>
  <c r="AP29" i="39" s="1"/>
  <c r="AN31" i="39"/>
  <c r="AP31" i="39" s="1"/>
  <c r="AQ5" i="39"/>
  <c r="AD17" i="39"/>
  <c r="AN7" i="39"/>
  <c r="AP7" i="39" s="1"/>
  <c r="B11" i="39"/>
  <c r="AQ13" i="39"/>
  <c r="AN14" i="39"/>
  <c r="AP14" i="39" s="1"/>
  <c r="AQ16" i="39"/>
  <c r="AQ19" i="39"/>
  <c r="AN21" i="39"/>
  <c r="AP21" i="39" s="1"/>
  <c r="AQ29" i="39"/>
  <c r="AQ31" i="39"/>
  <c r="AN33" i="39"/>
  <c r="AP33" i="39" s="1"/>
  <c r="AQ38" i="39"/>
  <c r="AN41" i="39"/>
  <c r="AP41" i="39" s="1"/>
  <c r="AN172" i="39"/>
  <c r="AP172" i="39" s="1"/>
  <c r="AN168" i="39"/>
  <c r="AP168" i="39" s="1"/>
  <c r="AN164" i="39"/>
  <c r="AP164" i="39" s="1"/>
  <c r="AN160" i="39"/>
  <c r="AP160" i="39" s="1"/>
  <c r="AN156" i="39"/>
  <c r="AP156" i="39" s="1"/>
  <c r="AN151" i="39"/>
  <c r="AP151" i="39" s="1"/>
  <c r="AN147" i="39"/>
  <c r="AP147" i="39" s="1"/>
  <c r="AN173" i="39"/>
  <c r="AP173" i="39" s="1"/>
  <c r="AQ172" i="39"/>
  <c r="AN169" i="39"/>
  <c r="AP169" i="39" s="1"/>
  <c r="AQ168" i="39"/>
  <c r="AN165" i="39"/>
  <c r="AP165" i="39" s="1"/>
  <c r="AQ164" i="39"/>
  <c r="AN161" i="39"/>
  <c r="AP161" i="39" s="1"/>
  <c r="AQ160" i="39"/>
  <c r="AN157" i="39"/>
  <c r="AP157" i="39" s="1"/>
  <c r="AQ156" i="39"/>
  <c r="AQ151" i="39"/>
  <c r="AN148" i="39"/>
  <c r="AP148" i="39" s="1"/>
  <c r="AQ147" i="39"/>
  <c r="AN144" i="39"/>
  <c r="AP144" i="39" s="1"/>
  <c r="AN143" i="39"/>
  <c r="AP143" i="39" s="1"/>
  <c r="AN142" i="39"/>
  <c r="AP142" i="39" s="1"/>
  <c r="AN141" i="39"/>
  <c r="AP141" i="39" s="1"/>
  <c r="AN140" i="39"/>
  <c r="AP140" i="39" s="1"/>
  <c r="AN139" i="39"/>
  <c r="AP139" i="39" s="1"/>
  <c r="AN138" i="39"/>
  <c r="AP138" i="39" s="1"/>
  <c r="AN137" i="39"/>
  <c r="AP137" i="39" s="1"/>
  <c r="AN136" i="39"/>
  <c r="AP136" i="39" s="1"/>
  <c r="AN135" i="39"/>
  <c r="AP135" i="39" s="1"/>
  <c r="AN134" i="39"/>
  <c r="AP134" i="39" s="1"/>
  <c r="AN133" i="39"/>
  <c r="AP133" i="39" s="1"/>
  <c r="AN132" i="39"/>
  <c r="AP132" i="39" s="1"/>
  <c r="AQ173" i="39"/>
  <c r="AQ169" i="39"/>
  <c r="AQ165" i="39"/>
  <c r="AQ161" i="39"/>
  <c r="AQ157" i="39"/>
  <c r="AQ148" i="39"/>
  <c r="AQ144" i="39"/>
  <c r="AQ143" i="39"/>
  <c r="AQ142" i="39"/>
  <c r="AQ141" i="39"/>
  <c r="AQ140" i="39"/>
  <c r="AQ139" i="39"/>
  <c r="AQ138" i="39"/>
  <c r="AQ137" i="39"/>
  <c r="AQ136" i="39"/>
  <c r="AQ135" i="39"/>
  <c r="AQ134" i="39"/>
  <c r="AQ133" i="39"/>
  <c r="AQ132" i="39"/>
  <c r="AN118" i="39"/>
  <c r="AP118" i="39" s="1"/>
  <c r="AN112" i="39"/>
  <c r="AP112" i="39" s="1"/>
  <c r="AN111" i="39"/>
  <c r="AP111" i="39" s="1"/>
  <c r="AQ91" i="39"/>
  <c r="AN90" i="39"/>
  <c r="AP90" i="39" s="1"/>
  <c r="AN89" i="39"/>
  <c r="AP89" i="39" s="1"/>
  <c r="AN88" i="39"/>
  <c r="AP88" i="39" s="1"/>
  <c r="AN119" i="39"/>
  <c r="AP119" i="39" s="1"/>
  <c r="AN117" i="39"/>
  <c r="AP117" i="39" s="1"/>
  <c r="AN115" i="39"/>
  <c r="AP115" i="39" s="1"/>
  <c r="AN113" i="39"/>
  <c r="AP113" i="39" s="1"/>
  <c r="AQ112" i="39"/>
  <c r="AQ110" i="39"/>
  <c r="AN107" i="39"/>
  <c r="AP107" i="39" s="1"/>
  <c r="AQ106" i="39"/>
  <c r="AQ105" i="39"/>
  <c r="AQ104" i="39"/>
  <c r="AQ103" i="39"/>
  <c r="AQ111" i="39"/>
  <c r="AQ107" i="39"/>
  <c r="AN98" i="39"/>
  <c r="AP98" i="39" s="1"/>
  <c r="AQ97" i="39"/>
  <c r="AQ96" i="39"/>
  <c r="AQ95" i="39"/>
  <c r="AQ94" i="39"/>
  <c r="AN93" i="39"/>
  <c r="AP93" i="39" s="1"/>
  <c r="AQ90" i="39"/>
  <c r="AQ89" i="39"/>
  <c r="AN86" i="39"/>
  <c r="AP86" i="39" s="1"/>
  <c r="AN85" i="39"/>
  <c r="AP85" i="39" s="1"/>
  <c r="AN72" i="39"/>
  <c r="AP72" i="39" s="1"/>
  <c r="AQ88" i="39"/>
  <c r="AQ87" i="39"/>
  <c r="AQ86" i="39"/>
  <c r="AQ85" i="39"/>
  <c r="AQ84" i="39"/>
  <c r="AN83" i="39"/>
  <c r="AP83" i="39" s="1"/>
  <c r="AQ83" i="39"/>
  <c r="AQ65" i="39"/>
  <c r="AQ64" i="39"/>
  <c r="AQ46" i="39"/>
  <c r="AN81" i="39"/>
  <c r="AP81" i="39" s="1"/>
  <c r="AN80" i="39"/>
  <c r="AP80" i="39" s="1"/>
  <c r="AQ44" i="39"/>
  <c r="AN69" i="39"/>
  <c r="AP69" i="39" s="1"/>
  <c r="AQ66" i="39"/>
  <c r="AQ63" i="39"/>
  <c r="AN46" i="39"/>
  <c r="AP46" i="39" s="1"/>
  <c r="AN40" i="39"/>
  <c r="AP40" i="39" s="1"/>
  <c r="AN73" i="39"/>
  <c r="AP73" i="39" s="1"/>
  <c r="AN44" i="39"/>
  <c r="AP44" i="39" s="1"/>
  <c r="AQ40" i="39"/>
  <c r="AQ32" i="39"/>
  <c r="AQ30" i="39"/>
  <c r="AN65" i="39"/>
  <c r="AP65" i="39" s="1"/>
  <c r="AN64" i="39"/>
  <c r="AP64" i="39" s="1"/>
  <c r="AN38" i="39"/>
  <c r="AP38" i="39" s="1"/>
  <c r="AQ35" i="39"/>
  <c r="AQ33" i="39"/>
  <c r="AQ10" i="39"/>
  <c r="AQ12" i="39"/>
  <c r="AN15" i="39"/>
  <c r="AP15" i="39" s="1"/>
  <c r="AN30" i="39"/>
  <c r="AP30" i="39" s="1"/>
  <c r="AN32" i="39"/>
  <c r="AP32" i="39" s="1"/>
  <c r="AN37" i="39"/>
  <c r="AP37" i="39" s="1"/>
  <c r="AN17" i="39"/>
  <c r="AP17" i="39" s="1"/>
  <c r="AQ18" i="39"/>
  <c r="AN22" i="39"/>
  <c r="AP22" i="39" s="1"/>
  <c r="AQ24" i="39"/>
  <c r="AQ26" i="39"/>
  <c r="AN27" i="39"/>
  <c r="AP27" i="39" s="1"/>
  <c r="Q166" i="39"/>
  <c r="Q157" i="39"/>
  <c r="Q153" i="39"/>
  <c r="Q149" i="39"/>
  <c r="Q128" i="39"/>
  <c r="Q125" i="39"/>
  <c r="Q124" i="39"/>
  <c r="Q122" i="39"/>
  <c r="Q121" i="39"/>
  <c r="Q120" i="39"/>
  <c r="Q119" i="39"/>
  <c r="Q118" i="39"/>
  <c r="Q117" i="39"/>
  <c r="Q116" i="39"/>
  <c r="Q115" i="39"/>
  <c r="Q163" i="39"/>
  <c r="Q159" i="39"/>
  <c r="Q150" i="39"/>
  <c r="Q146" i="39"/>
  <c r="Q138" i="39"/>
  <c r="Q114" i="39"/>
  <c r="Q113" i="39"/>
  <c r="Q112" i="39"/>
  <c r="Q111" i="39"/>
  <c r="Q110" i="39"/>
  <c r="Q109" i="39"/>
  <c r="AQ6" i="39"/>
  <c r="G8" i="39"/>
  <c r="I4" i="39" s="1"/>
  <c r="AN11" i="39"/>
  <c r="AP11" i="39" s="1"/>
  <c r="AN12" i="39"/>
  <c r="AP12" i="39" s="1"/>
  <c r="AQ15" i="39"/>
  <c r="AQ17" i="39"/>
  <c r="AN20" i="39"/>
  <c r="AP20" i="39" s="1"/>
  <c r="AQ21" i="39"/>
  <c r="AN23" i="39"/>
  <c r="AP23" i="39" s="1"/>
  <c r="AN25" i="39"/>
  <c r="AP25" i="39" s="1"/>
  <c r="AQ27" i="39"/>
  <c r="AN28" i="39"/>
  <c r="AP28" i="39" s="1"/>
  <c r="AN34" i="39"/>
  <c r="AP34" i="39" s="1"/>
  <c r="AN36" i="39"/>
  <c r="AP36" i="39" s="1"/>
  <c r="AN42" i="39"/>
  <c r="AP42" i="39" s="1"/>
  <c r="AQ22" i="39"/>
  <c r="AQ25" i="39"/>
  <c r="AN35" i="39"/>
  <c r="AP35" i="39" s="1"/>
  <c r="AN39" i="39"/>
  <c r="AP39" i="39" s="1"/>
  <c r="AQ37" i="39"/>
  <c r="AQ43" i="39"/>
  <c r="AN43" i="39"/>
  <c r="AP43" i="39" s="1"/>
  <c r="AQ78" i="39"/>
  <c r="AQ81" i="39"/>
  <c r="AN82" i="39"/>
  <c r="AP82" i="39" s="1"/>
  <c r="K33" i="39"/>
  <c r="Q33" i="39" s="1"/>
  <c r="AQ42" i="39"/>
  <c r="AN63" i="39"/>
  <c r="AP63" i="39" s="1"/>
  <c r="AN66" i="39"/>
  <c r="AP66" i="39" s="1"/>
  <c r="AN68" i="39"/>
  <c r="AP68" i="39" s="1"/>
  <c r="AN70" i="39"/>
  <c r="AP70" i="39" s="1"/>
  <c r="AN74" i="39"/>
  <c r="AP74" i="39" s="1"/>
  <c r="AQ77" i="39"/>
  <c r="AN84" i="39"/>
  <c r="AP84" i="39" s="1"/>
  <c r="AQ34" i="39"/>
  <c r="AQ36" i="39"/>
  <c r="AQ39" i="39"/>
  <c r="AQ41" i="39"/>
  <c r="AN47" i="39"/>
  <c r="AP47" i="39" s="1"/>
  <c r="AQ47" i="39"/>
  <c r="AQ80" i="39"/>
  <c r="AQ45" i="39"/>
  <c r="AN62" i="39"/>
  <c r="AP62" i="39" s="1"/>
  <c r="AQ62" i="39"/>
  <c r="AN67" i="39"/>
  <c r="AP67" i="39" s="1"/>
  <c r="AQ79" i="39"/>
  <c r="AN45" i="39"/>
  <c r="AP45" i="39" s="1"/>
  <c r="AN71" i="39"/>
  <c r="AP71" i="39" s="1"/>
  <c r="AN75" i="39"/>
  <c r="AP75" i="39" s="1"/>
  <c r="AN76" i="39"/>
  <c r="AP76" i="39" s="1"/>
  <c r="AN77" i="39"/>
  <c r="AP77" i="39" s="1"/>
  <c r="AN78" i="39"/>
  <c r="AP78" i="39" s="1"/>
  <c r="AN79" i="39"/>
  <c r="AP79" i="39" s="1"/>
  <c r="AQ82" i="39"/>
  <c r="AN87" i="39"/>
  <c r="AP87" i="39" s="1"/>
  <c r="AN95" i="39"/>
  <c r="AP95" i="39" s="1"/>
  <c r="AN101" i="39"/>
  <c r="AP101" i="39" s="1"/>
  <c r="AN105" i="39"/>
  <c r="AP105" i="39" s="1"/>
  <c r="AN110" i="39"/>
  <c r="AP110" i="39" s="1"/>
  <c r="AQ92" i="39"/>
  <c r="AN96" i="39"/>
  <c r="AP96" i="39" s="1"/>
  <c r="AN102" i="39"/>
  <c r="AP102" i="39" s="1"/>
  <c r="AN106" i="39"/>
  <c r="AP106" i="39" s="1"/>
  <c r="AN91" i="39"/>
  <c r="AP91" i="39" s="1"/>
  <c r="AQ93" i="39"/>
  <c r="AN97" i="39"/>
  <c r="AP97" i="39" s="1"/>
  <c r="AQ98" i="39"/>
  <c r="AN99" i="39"/>
  <c r="AP99" i="39" s="1"/>
  <c r="AN103" i="39"/>
  <c r="AP103" i="39" s="1"/>
  <c r="AN94" i="39"/>
  <c r="AP94" i="39" s="1"/>
  <c r="AN100" i="39"/>
  <c r="AP100" i="39" s="1"/>
  <c r="AN104" i="39"/>
  <c r="AP104" i="39" s="1"/>
  <c r="AN92" i="39"/>
  <c r="AP92" i="39" s="1"/>
  <c r="AD99" i="39"/>
  <c r="AQ114" i="39"/>
  <c r="AQ116" i="39"/>
  <c r="AQ118" i="39"/>
  <c r="AN122" i="39"/>
  <c r="AP122" i="39" s="1"/>
  <c r="AQ122" i="39"/>
  <c r="AN126" i="39"/>
  <c r="AP126" i="39" s="1"/>
  <c r="AQ126" i="39"/>
  <c r="AN145" i="39"/>
  <c r="AP145" i="39" s="1"/>
  <c r="AN149" i="39"/>
  <c r="AP149" i="39" s="1"/>
  <c r="Q147" i="39"/>
  <c r="Q151" i="39"/>
  <c r="AE99" i="39"/>
  <c r="AN121" i="39"/>
  <c r="AP121" i="39" s="1"/>
  <c r="AQ121" i="39"/>
  <c r="AN125" i="39"/>
  <c r="AP125" i="39" s="1"/>
  <c r="AQ125" i="39"/>
  <c r="AN128" i="39"/>
  <c r="AP128" i="39" s="1"/>
  <c r="AN154" i="39"/>
  <c r="AP154" i="39" s="1"/>
  <c r="AN158" i="39"/>
  <c r="AP158" i="39" s="1"/>
  <c r="AN162" i="39"/>
  <c r="AP162" i="39" s="1"/>
  <c r="AN166" i="39"/>
  <c r="AP166" i="39" s="1"/>
  <c r="AN170" i="39"/>
  <c r="AP170" i="39" s="1"/>
  <c r="Q160" i="39"/>
  <c r="Q164" i="39"/>
  <c r="AQ99" i="39"/>
  <c r="AQ100" i="39"/>
  <c r="AQ101" i="39"/>
  <c r="AQ102" i="39"/>
  <c r="AQ113" i="39"/>
  <c r="AQ115" i="39"/>
  <c r="AQ117" i="39"/>
  <c r="AQ119" i="39"/>
  <c r="AN120" i="39"/>
  <c r="AP120" i="39" s="1"/>
  <c r="AQ120" i="39"/>
  <c r="AN124" i="39"/>
  <c r="AP124" i="39" s="1"/>
  <c r="AQ124" i="39"/>
  <c r="AQ146" i="39"/>
  <c r="AQ150" i="39"/>
  <c r="Q140" i="39"/>
  <c r="Q144" i="39"/>
  <c r="Q148" i="39"/>
  <c r="Q156" i="39"/>
  <c r="Q161" i="39"/>
  <c r="Q165" i="39"/>
  <c r="AD89" i="39"/>
  <c r="AN114" i="39"/>
  <c r="AP114" i="39" s="1"/>
  <c r="AN116" i="39"/>
  <c r="AP116" i="39" s="1"/>
  <c r="AN123" i="39"/>
  <c r="AP123" i="39" s="1"/>
  <c r="AQ123" i="39"/>
  <c r="AN127" i="39"/>
  <c r="AP127" i="39" s="1"/>
  <c r="AQ127" i="39"/>
  <c r="AN129" i="39"/>
  <c r="AP129" i="39" s="1"/>
  <c r="AQ155" i="39"/>
  <c r="AQ159" i="39"/>
  <c r="AQ163" i="39"/>
  <c r="AQ167" i="39"/>
  <c r="AQ128" i="39"/>
  <c r="AQ129" i="39"/>
  <c r="AQ145" i="39"/>
  <c r="AN146" i="39"/>
  <c r="AP146" i="39" s="1"/>
  <c r="AQ149" i="39"/>
  <c r="AN150" i="39"/>
  <c r="AP150" i="39" s="1"/>
  <c r="AQ154" i="39"/>
  <c r="AN155" i="39"/>
  <c r="AP155" i="39" s="1"/>
  <c r="AQ158" i="39"/>
  <c r="AN159" i="39"/>
  <c r="AP159" i="39" s="1"/>
  <c r="AQ162" i="39"/>
  <c r="AN163" i="39"/>
  <c r="AP163" i="39" s="1"/>
  <c r="AN167" i="39"/>
  <c r="AP167" i="39" s="1"/>
  <c r="AQ170" i="39"/>
  <c r="AI9" i="39" l="1"/>
  <c r="AC40" i="39"/>
  <c r="Y40" i="39" s="1"/>
  <c r="AC68" i="39"/>
  <c r="Y68" i="39" s="1"/>
  <c r="AC38" i="39"/>
  <c r="Y38" i="39" s="1"/>
  <c r="AI8" i="39"/>
  <c r="AI11" i="39"/>
  <c r="Y71" i="39"/>
  <c r="Y60" i="39"/>
  <c r="AF89" i="39"/>
  <c r="Y41" i="39"/>
  <c r="Y67" i="39"/>
  <c r="N81" i="39"/>
  <c r="N85" i="39" s="1"/>
  <c r="N123" i="39" s="1"/>
  <c r="Y46" i="39"/>
  <c r="Y79" i="39"/>
  <c r="AW9" i="39"/>
  <c r="Y36" i="39"/>
  <c r="AI7" i="39"/>
  <c r="AH16" i="39"/>
  <c r="AH50" i="39"/>
  <c r="Y76" i="39"/>
  <c r="AF50" i="39"/>
  <c r="Y37" i="39"/>
  <c r="AC47" i="39"/>
  <c r="AE50" i="39"/>
  <c r="AD80" i="39"/>
  <c r="Y49" i="39"/>
  <c r="AG50" i="39"/>
  <c r="AE80" i="39"/>
  <c r="Y42" i="39"/>
  <c r="B12" i="39"/>
  <c r="A11" i="39"/>
  <c r="AD50" i="39"/>
  <c r="Y30" i="39"/>
  <c r="AF80" i="39"/>
  <c r="AE93" i="39"/>
  <c r="AE95" i="39" s="1"/>
  <c r="Y78" i="39"/>
  <c r="AD93" i="39"/>
  <c r="AD95" i="39" s="1"/>
  <c r="Y77" i="39"/>
  <c r="AF93" i="39" l="1"/>
  <c r="AF95" i="39" s="1"/>
  <c r="AC50" i="39"/>
  <c r="AC80" i="39"/>
  <c r="AA125" i="39"/>
  <c r="Y123" i="39"/>
  <c r="Y124" i="39"/>
  <c r="AC128" i="39"/>
  <c r="AA123" i="39"/>
  <c r="Y131" i="39"/>
  <c r="AE131" i="39"/>
  <c r="AC129" i="39"/>
  <c r="Y129" i="39"/>
  <c r="AC127" i="39"/>
  <c r="AC126" i="39"/>
  <c r="AC130" i="39"/>
  <c r="AE130" i="39"/>
  <c r="Y122" i="39"/>
  <c r="Y128" i="39"/>
  <c r="AA128" i="39"/>
  <c r="Y126" i="39"/>
  <c r="AE129" i="39"/>
  <c r="AE128" i="39"/>
  <c r="AA126" i="39"/>
  <c r="AC131" i="39"/>
  <c r="Y127" i="39"/>
  <c r="AC124" i="39"/>
  <c r="Y130" i="39"/>
  <c r="AA122" i="39"/>
  <c r="AC123" i="39"/>
  <c r="AC122" i="39"/>
  <c r="AA130" i="39"/>
  <c r="AA131" i="39"/>
  <c r="AA124" i="39"/>
  <c r="AA127" i="39"/>
  <c r="AC125" i="39"/>
  <c r="Y125" i="39"/>
  <c r="AA129" i="39"/>
  <c r="I2" i="39"/>
  <c r="M2" i="39" s="1"/>
  <c r="AJ8" i="39"/>
  <c r="Y47" i="39"/>
  <c r="Y50" i="39" s="1"/>
  <c r="AE52" i="39"/>
  <c r="Y80" i="39"/>
  <c r="B13" i="39"/>
  <c r="A12" i="39"/>
  <c r="AG12" i="39" l="1"/>
  <c r="AG16" i="39" s="1"/>
  <c r="AD21" i="39" s="1"/>
  <c r="AF99" i="39"/>
  <c r="AI12" i="39"/>
  <c r="AI16" i="39" s="1"/>
  <c r="Y132" i="39"/>
  <c r="A13" i="39"/>
  <c r="B14" i="39"/>
  <c r="AG21" i="39" l="1"/>
  <c r="AC21" i="39"/>
  <c r="B15" i="39"/>
  <c r="A14" i="39"/>
  <c r="B16" i="39" l="1"/>
  <c r="A15" i="39"/>
  <c r="B17" i="39" l="1"/>
  <c r="A16" i="39"/>
  <c r="B18" i="39" l="1"/>
  <c r="A17" i="39"/>
  <c r="B19" i="39" l="1"/>
  <c r="A18" i="39"/>
  <c r="B20" i="39" l="1"/>
  <c r="A19" i="39"/>
  <c r="B21" i="39" l="1"/>
  <c r="A20" i="39"/>
  <c r="A21" i="39" l="1"/>
  <c r="B22" i="39"/>
  <c r="B23" i="39" s="1"/>
  <c r="B24" i="39" s="1"/>
  <c r="B25" i="39" s="1"/>
  <c r="B26" i="39" s="1"/>
  <c r="B27" i="39" s="1"/>
  <c r="B28" i="39" s="1"/>
  <c r="B29" i="39" s="1"/>
  <c r="B30" i="39" s="1"/>
  <c r="B31" i="39" s="1"/>
  <c r="B32" i="39" s="1"/>
  <c r="B33" i="39" s="1"/>
  <c r="B34" i="39" s="1"/>
  <c r="B35" i="39" s="1"/>
  <c r="B36" i="39" s="1"/>
  <c r="B37" i="39" s="1"/>
  <c r="B38" i="39" s="1"/>
  <c r="B39" i="39" s="1"/>
  <c r="B40" i="39" s="1"/>
  <c r="B41" i="39" s="1"/>
  <c r="B42" i="39" s="1"/>
  <c r="B43" i="39" s="1"/>
  <c r="B44" i="39" s="1"/>
  <c r="B45" i="39" s="1"/>
  <c r="B46" i="39" s="1"/>
  <c r="B47" i="39" s="1"/>
  <c r="B48" i="39" s="1"/>
  <c r="B49" i="39" s="1"/>
  <c r="B50" i="39" s="1"/>
  <c r="B51" i="39" s="1"/>
  <c r="B52" i="39" s="1"/>
  <c r="B53" i="39" s="1"/>
  <c r="B54" i="39" s="1"/>
  <c r="B55" i="39" s="1"/>
  <c r="B56" i="39" s="1"/>
  <c r="B57" i="39" s="1"/>
  <c r="B58" i="39" s="1"/>
  <c r="B59" i="39" s="1"/>
  <c r="B60" i="39" s="1"/>
  <c r="B61" i="39" s="1"/>
  <c r="B62" i="39" s="1"/>
  <c r="B63" i="39" s="1"/>
  <c r="B64" i="39" s="1"/>
  <c r="B65" i="39" s="1"/>
  <c r="B66" i="39" s="1"/>
  <c r="B67" i="39" s="1"/>
  <c r="B68" i="39" s="1"/>
  <c r="B69" i="39" s="1"/>
  <c r="B70" i="39" s="1"/>
  <c r="B71" i="39" s="1"/>
  <c r="B72" i="39" s="1"/>
  <c r="B73" i="39" s="1"/>
  <c r="B74" i="39" s="1"/>
  <c r="B75" i="39" s="1"/>
  <c r="B76" i="39" s="1"/>
  <c r="B77" i="39" s="1"/>
  <c r="B78" i="39" s="1"/>
  <c r="B79" i="39" s="1"/>
  <c r="B80" i="39" s="1"/>
  <c r="B81" i="39" s="1"/>
  <c r="B82" i="39" s="1"/>
  <c r="B83" i="39" s="1"/>
  <c r="B84" i="39" s="1"/>
  <c r="B85" i="39" s="1"/>
  <c r="B86" i="39" s="1"/>
  <c r="B87" i="39" s="1"/>
  <c r="B88" i="39" s="1"/>
  <c r="B89" i="39" s="1"/>
  <c r="B90" i="39" s="1"/>
  <c r="B91" i="39" s="1"/>
  <c r="B92" i="39" s="1"/>
  <c r="B93" i="39" s="1"/>
  <c r="B94" i="39" s="1"/>
  <c r="B95" i="39" s="1"/>
  <c r="B96" i="39" s="1"/>
  <c r="B97" i="39" s="1"/>
  <c r="B98" i="39" s="1"/>
  <c r="B99" i="39" s="1"/>
  <c r="B100" i="39" s="1"/>
  <c r="B101" i="39" s="1"/>
  <c r="B102" i="39" s="1"/>
  <c r="B103" i="39" s="1"/>
  <c r="B104" i="39" s="1"/>
  <c r="B105" i="39" s="1"/>
  <c r="B106" i="39" s="1"/>
  <c r="B107" i="39" s="1"/>
  <c r="B108" i="39" s="1"/>
  <c r="B109" i="39" s="1"/>
  <c r="B110" i="39" s="1"/>
  <c r="B111" i="39" l="1"/>
  <c r="A111" i="39"/>
  <c r="A22" i="39"/>
  <c r="B112" i="39" l="1"/>
  <c r="A112" i="39"/>
  <c r="A23" i="39"/>
  <c r="A113" i="39" l="1"/>
  <c r="B113" i="39"/>
  <c r="A24" i="39"/>
  <c r="B114" i="39" l="1"/>
  <c r="A114" i="39"/>
  <c r="A25" i="39"/>
  <c r="B115" i="39" l="1"/>
  <c r="A115" i="39"/>
  <c r="A26" i="39"/>
  <c r="B116" i="39" l="1"/>
  <c r="A116" i="39"/>
  <c r="A27" i="39"/>
  <c r="B117" i="39" l="1"/>
  <c r="A117" i="39"/>
  <c r="A28" i="39"/>
  <c r="B118" i="39" l="1"/>
  <c r="A118" i="39"/>
  <c r="A29" i="39"/>
  <c r="B119" i="39" l="1"/>
  <c r="A119" i="39"/>
  <c r="A30" i="39"/>
  <c r="B120" i="39" l="1"/>
  <c r="A120" i="39"/>
  <c r="A31" i="39"/>
  <c r="B121" i="39" l="1"/>
  <c r="A121" i="39"/>
  <c r="A32" i="39"/>
  <c r="A122" i="39" l="1"/>
  <c r="B122" i="39"/>
  <c r="A33" i="39"/>
  <c r="B123" i="39" l="1"/>
  <c r="A123" i="39"/>
  <c r="A34" i="39"/>
  <c r="B124" i="39" l="1"/>
  <c r="A124" i="39"/>
  <c r="A35" i="39"/>
  <c r="B125" i="39" l="1"/>
  <c r="A125" i="39"/>
  <c r="A36" i="39"/>
  <c r="B126" i="39" l="1"/>
  <c r="A127" i="39" s="1"/>
  <c r="A126" i="39"/>
  <c r="A37" i="39"/>
  <c r="A38" i="39" l="1"/>
  <c r="A39" i="39" l="1"/>
  <c r="A40" i="39" l="1"/>
  <c r="A41" i="39" l="1"/>
  <c r="A42" i="39" l="1"/>
  <c r="A43" i="39" l="1"/>
  <c r="A44" i="39" l="1"/>
  <c r="A45" i="39" l="1"/>
  <c r="A46" i="39" l="1"/>
  <c r="A47" i="39" l="1"/>
  <c r="A48" i="39" l="1"/>
  <c r="A49" i="39" l="1"/>
  <c r="A50" i="39" l="1"/>
  <c r="A51" i="39" l="1"/>
  <c r="A52" i="39" l="1"/>
  <c r="A53" i="39" l="1"/>
  <c r="A54" i="39" l="1"/>
  <c r="A55" i="39" l="1"/>
  <c r="A56" i="39" l="1"/>
  <c r="A57" i="39" l="1"/>
  <c r="A58" i="39" l="1"/>
  <c r="A59" i="39" l="1"/>
  <c r="A60" i="39" l="1"/>
  <c r="A61" i="39" l="1"/>
  <c r="A62" i="39" l="1"/>
  <c r="A63" i="39" l="1"/>
  <c r="A64" i="39" l="1"/>
  <c r="A65" i="39" l="1"/>
  <c r="A66" i="39" l="1"/>
  <c r="A67" i="39" l="1"/>
  <c r="A68" i="39" l="1"/>
  <c r="A69" i="39" l="1"/>
  <c r="A70" i="39" l="1"/>
  <c r="A71" i="39" l="1"/>
  <c r="A72" i="39" l="1"/>
  <c r="A73" i="39" l="1"/>
  <c r="A74" i="39" l="1"/>
  <c r="A75" i="39" l="1"/>
  <c r="A76" i="39" l="1"/>
  <c r="A77" i="39" l="1"/>
  <c r="A78" i="39" l="1"/>
  <c r="A79" i="39" l="1"/>
  <c r="A80" i="39" l="1"/>
  <c r="A81" i="39" l="1"/>
  <c r="A82" i="39" l="1"/>
  <c r="A83" i="39" l="1"/>
  <c r="A84" i="39" l="1"/>
  <c r="A85" i="39" l="1"/>
  <c r="A86" i="39" l="1"/>
  <c r="A87" i="39" l="1"/>
  <c r="A88" i="39" l="1"/>
  <c r="A89" i="39" l="1"/>
  <c r="A90" i="39" l="1"/>
  <c r="A91" i="39" l="1"/>
  <c r="A92" i="39" l="1"/>
  <c r="A93" i="39" l="1"/>
  <c r="A94" i="39" l="1"/>
  <c r="A95" i="39" l="1"/>
  <c r="A96" i="39" l="1"/>
  <c r="A97" i="39" l="1"/>
  <c r="A98" i="39" l="1"/>
  <c r="A99" i="39" l="1"/>
  <c r="A100" i="39" l="1"/>
  <c r="A101" i="39" l="1"/>
  <c r="A102" i="39" l="1"/>
  <c r="A103" i="39" l="1"/>
  <c r="A104" i="39" l="1"/>
  <c r="A105" i="39" l="1"/>
  <c r="A106" i="39" l="1"/>
  <c r="A107" i="39" l="1"/>
  <c r="A108" i="39" l="1"/>
  <c r="A109" i="39" l="1"/>
  <c r="A110" i="39"/>
  <c r="K31" i="39" l="1"/>
  <c r="Q31" i="39" s="1"/>
  <c r="AO171" i="39"/>
  <c r="K126" i="39" l="1"/>
  <c r="K123" i="39"/>
  <c r="K122" i="39"/>
  <c r="K125" i="39"/>
  <c r="K124" i="39"/>
  <c r="K116" i="39"/>
  <c r="K113" i="39"/>
  <c r="K119" i="39"/>
  <c r="K121" i="39"/>
  <c r="K115" i="39"/>
  <c r="K117" i="39"/>
  <c r="K114" i="39"/>
  <c r="K118" i="39"/>
  <c r="K120" i="39"/>
  <c r="K110" i="39"/>
  <c r="K111" i="39"/>
  <c r="K112" i="39"/>
  <c r="K105" i="39"/>
  <c r="K108" i="39"/>
  <c r="Q108" i="39" s="1"/>
  <c r="K109" i="39"/>
  <c r="K107" i="39"/>
  <c r="K88" i="39"/>
  <c r="K98" i="39"/>
  <c r="Q98" i="39" s="1"/>
  <c r="K81" i="39"/>
  <c r="Q81" i="39" s="1"/>
  <c r="AQ171" i="39"/>
  <c r="K74" i="39"/>
  <c r="Q74" i="39" s="1"/>
  <c r="K75" i="39"/>
  <c r="Q75" i="39" s="1"/>
  <c r="K76" i="39"/>
  <c r="Q76" i="39" s="1"/>
  <c r="K26" i="39"/>
  <c r="Q26" i="39" s="1"/>
  <c r="K20" i="39"/>
  <c r="Q20" i="39" s="1"/>
  <c r="K12" i="39"/>
  <c r="K24" i="39"/>
  <c r="K10" i="39"/>
  <c r="K36" i="39"/>
  <c r="K21" i="39"/>
  <c r="K29" i="39"/>
  <c r="Q29" i="39" s="1"/>
  <c r="K30" i="39"/>
  <c r="Q30" i="39" s="1"/>
  <c r="K70" i="39"/>
  <c r="Q70" i="39" s="1"/>
  <c r="K46" i="39"/>
  <c r="Q46" i="39" s="1"/>
  <c r="K65" i="39"/>
  <c r="Q65" i="39" s="1"/>
  <c r="K17" i="39"/>
  <c r="K23" i="39"/>
  <c r="K38" i="39"/>
  <c r="K35" i="39"/>
  <c r="Q35" i="39" s="1"/>
  <c r="K15" i="39"/>
  <c r="AN171" i="39"/>
  <c r="AP171" i="39" s="1"/>
  <c r="K27" i="39"/>
  <c r="Q27" i="39" s="1"/>
  <c r="K11" i="39"/>
  <c r="K19" i="39"/>
  <c r="K16" i="39"/>
  <c r="K69" i="39"/>
  <c r="Q69" i="39" s="1"/>
  <c r="K13" i="39"/>
  <c r="K72" i="39"/>
  <c r="Q72" i="39" s="1"/>
  <c r="K32" i="39"/>
  <c r="Q32" i="39" s="1"/>
  <c r="K40" i="39"/>
  <c r="Q40" i="39" s="1"/>
  <c r="K55" i="39"/>
  <c r="Q55" i="39" s="1"/>
  <c r="K22" i="39"/>
  <c r="Q22" i="39" s="1"/>
  <c r="K28" i="39"/>
  <c r="Q28" i="39" s="1"/>
  <c r="K14" i="39"/>
  <c r="K25" i="39"/>
  <c r="K39" i="39"/>
  <c r="K18" i="39"/>
  <c r="S42" i="44"/>
  <c r="P42" i="44"/>
  <c r="AM13" i="44"/>
  <c r="W17" i="4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Hudson</author>
  </authors>
  <commentList>
    <comment ref="B12" authorId="0" shapeId="0" xr:uid="{A135D0A5-E9F0-46EB-9221-44E5AB41236E}">
      <text>
        <r>
          <rPr>
            <b/>
            <sz val="9"/>
            <color indexed="81"/>
            <rFont val="Tahoma"/>
            <family val="2"/>
          </rPr>
          <t>560,00</t>
        </r>
      </text>
    </comment>
    <comment ref="B13" authorId="0" shapeId="0" xr:uid="{358A1921-08DF-48A1-A4AE-012E3E705393}">
      <text>
        <r>
          <rPr>
            <b/>
            <sz val="9"/>
            <color indexed="81"/>
            <rFont val="Tahoma"/>
            <family val="2"/>
          </rPr>
          <t>80,00</t>
        </r>
      </text>
    </comment>
    <comment ref="B14" authorId="0" shapeId="0" xr:uid="{CDE67DDB-DEF3-4795-892C-61D257E9D137}">
      <text>
        <r>
          <rPr>
            <b/>
            <sz val="9"/>
            <color indexed="81"/>
            <rFont val="Tahoma"/>
            <family val="2"/>
          </rPr>
          <t>350,00</t>
        </r>
      </text>
    </comment>
    <comment ref="B15" authorId="0" shapeId="0" xr:uid="{0685850B-CA5D-40F8-B088-3852AFEC9A58}">
      <text>
        <r>
          <rPr>
            <b/>
            <sz val="9"/>
            <color indexed="81"/>
            <rFont val="Tahoma"/>
            <family val="2"/>
          </rPr>
          <t>861,38</t>
        </r>
      </text>
    </comment>
    <comment ref="B16" authorId="0" shapeId="0" xr:uid="{14C2A5EE-BBB6-4915-811A-364AB8735C65}">
      <text>
        <r>
          <rPr>
            <b/>
            <sz val="9"/>
            <color indexed="81"/>
            <rFont val="Tahoma"/>
            <family val="2"/>
          </rPr>
          <t>2.191,00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Hudson</author>
  </authors>
  <commentList>
    <comment ref="B1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560,00</t>
        </r>
      </text>
    </comment>
    <comment ref="B1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80,00</t>
        </r>
      </text>
    </comment>
    <comment ref="B1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350,00</t>
        </r>
      </text>
    </comment>
    <comment ref="B1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861,38</t>
        </r>
      </text>
    </comment>
    <comment ref="B1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2.191,00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Hudson</author>
  </authors>
  <commentList>
    <comment ref="C10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560,00</t>
        </r>
      </text>
    </comment>
    <comment ref="C1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80,00</t>
        </r>
      </text>
    </comment>
    <comment ref="C1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350,00</t>
        </r>
      </text>
    </comment>
    <comment ref="C13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861,38</t>
        </r>
      </text>
    </comment>
    <comment ref="C14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2.191,00</t>
        </r>
      </text>
    </comment>
    <comment ref="AC38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R$ 500,00</t>
        </r>
      </text>
    </comment>
    <comment ref="AC39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R$ 200,00</t>
        </r>
      </text>
    </comment>
    <comment ref="AC40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R$ 500,00</t>
        </r>
      </text>
    </comment>
    <comment ref="AC68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R$ 500,00</t>
        </r>
      </text>
    </comment>
    <comment ref="AC69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R$ 200,00</t>
        </r>
      </text>
    </comment>
    <comment ref="AC70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R$ 500,00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<sst xmlns="http://schemas.openxmlformats.org/spreadsheetml/2006/main" count="2111" uniqueCount="469">
  <si>
    <t>Tipo</t>
  </si>
  <si>
    <t>Descrição</t>
  </si>
  <si>
    <t>Pago</t>
  </si>
  <si>
    <t>Data</t>
  </si>
  <si>
    <t>Valor</t>
  </si>
  <si>
    <t>Flavia</t>
  </si>
  <si>
    <t>PRUDENTIAL</t>
  </si>
  <si>
    <t>Guto</t>
  </si>
  <si>
    <t>C6</t>
  </si>
  <si>
    <t>Feira</t>
  </si>
  <si>
    <t>João</t>
  </si>
  <si>
    <t>Gás</t>
  </si>
  <si>
    <t>Luz</t>
  </si>
  <si>
    <t>Moto</t>
  </si>
  <si>
    <t>Parcelado</t>
  </si>
  <si>
    <t>Faculdade</t>
  </si>
  <si>
    <t>TV</t>
  </si>
  <si>
    <t>NetFlix</t>
  </si>
  <si>
    <t>Shein</t>
  </si>
  <si>
    <t>Condomínio</t>
  </si>
  <si>
    <t>Super</t>
  </si>
  <si>
    <t>Carro</t>
  </si>
  <si>
    <t>de</t>
  </si>
  <si>
    <t>Gas</t>
  </si>
  <si>
    <t>Drogaria SP</t>
  </si>
  <si>
    <t>Diesel</t>
  </si>
  <si>
    <t>Gastos</t>
  </si>
  <si>
    <t>Supermercado</t>
  </si>
  <si>
    <t>Farmácia</t>
  </si>
  <si>
    <t>Prudential</t>
  </si>
  <si>
    <t>Cartão C6</t>
  </si>
  <si>
    <t>FEIRA</t>
  </si>
  <si>
    <t>PAGO</t>
  </si>
  <si>
    <t>Disponível</t>
  </si>
  <si>
    <t>Cartões</t>
  </si>
  <si>
    <t>Compras</t>
  </si>
  <si>
    <t>Sofisa</t>
  </si>
  <si>
    <t>Uber</t>
  </si>
  <si>
    <t>Total</t>
  </si>
  <si>
    <t>PC</t>
  </si>
  <si>
    <t>Planejado</t>
  </si>
  <si>
    <t>Salário</t>
  </si>
  <si>
    <t>Presente Ana</t>
  </si>
  <si>
    <t>Banco</t>
  </si>
  <si>
    <t>Metrô</t>
  </si>
  <si>
    <t>Lanche João</t>
  </si>
  <si>
    <t>Cobasi</t>
  </si>
  <si>
    <t>prudent*apol000154552</t>
  </si>
  <si>
    <t>Ingresso.com</t>
  </si>
  <si>
    <t>IOF</t>
  </si>
  <si>
    <t>MacDonald´s</t>
  </si>
  <si>
    <t>Recarga Metrô</t>
  </si>
  <si>
    <t>Bolo</t>
  </si>
  <si>
    <t>Dia</t>
  </si>
  <si>
    <t>Zelitus - João</t>
  </si>
  <si>
    <t>drogaria_sp drogar02/02</t>
  </si>
  <si>
    <t>drogaria_sp drogar03/03</t>
  </si>
  <si>
    <t>prudent*apol000200822</t>
  </si>
  <si>
    <t>prudent*apol000200829</t>
  </si>
  <si>
    <t>Gasolina Gladius</t>
  </si>
  <si>
    <t>dia brasil lj 180</t>
  </si>
  <si>
    <t>shein *shein.com</t>
  </si>
  <si>
    <t>ec *hbomaxassin</t>
  </si>
  <si>
    <t>99app *99app</t>
  </si>
  <si>
    <t>ifd*sendas distribuido</t>
  </si>
  <si>
    <t>ifd*arcos dourados com</t>
  </si>
  <si>
    <t>shopee *shpstecnologia</t>
  </si>
  <si>
    <t>????</t>
  </si>
  <si>
    <t>casa tivoli paes e doc</t>
  </si>
  <si>
    <t>Shopee</t>
  </si>
  <si>
    <t>prudent*apol000544160rio de janeirbr</t>
  </si>
  <si>
    <t>prudent*apol000154552rio de janeirbr</t>
  </si>
  <si>
    <t>netflix entretenimento</t>
  </si>
  <si>
    <t>esfihariatijuco</t>
  </si>
  <si>
    <t>ocm comercio de bolos</t>
  </si>
  <si>
    <t>cobasi tatuape</t>
  </si>
  <si>
    <t xml:space="preserve">prudent*apol000544160 </t>
  </si>
  <si>
    <t>prudent*apol001212143r</t>
  </si>
  <si>
    <t>google youtubepremium</t>
  </si>
  <si>
    <t>outlet radial</t>
  </si>
  <si>
    <t>Caixa</t>
  </si>
  <si>
    <t>Local</t>
  </si>
  <si>
    <t>Shepora - Perfume João</t>
  </si>
  <si>
    <t>Esfiha Chic</t>
  </si>
  <si>
    <t>99food *zamp s.a.</t>
  </si>
  <si>
    <t>99food *arcos dourados</t>
  </si>
  <si>
    <t>Claro</t>
  </si>
  <si>
    <t>DISPONÍVEL</t>
  </si>
  <si>
    <t>Sim</t>
  </si>
  <si>
    <t>F</t>
  </si>
  <si>
    <t>IT</t>
  </si>
  <si>
    <t>RP</t>
  </si>
  <si>
    <t>BC</t>
  </si>
  <si>
    <t>Não</t>
  </si>
  <si>
    <t>G</t>
  </si>
  <si>
    <t>IT2</t>
  </si>
  <si>
    <t>Saldo Conta</t>
  </si>
  <si>
    <t>À Vista</t>
  </si>
  <si>
    <t>J</t>
  </si>
  <si>
    <t>ITP</t>
  </si>
  <si>
    <t>Cartão IT</t>
  </si>
  <si>
    <t>Euclides - 20</t>
  </si>
  <si>
    <t>Cartão IT2</t>
  </si>
  <si>
    <t>Charles - 25</t>
  </si>
  <si>
    <t>Cartão ITP</t>
  </si>
  <si>
    <t>Pierre - 10</t>
  </si>
  <si>
    <t>Depositar</t>
  </si>
  <si>
    <t>Julio - 01</t>
  </si>
  <si>
    <t>Refeição \ Lanche</t>
  </si>
  <si>
    <t>Itaú Poupança</t>
  </si>
  <si>
    <t>Itaú Poupança CC</t>
  </si>
  <si>
    <t>Extras João</t>
  </si>
  <si>
    <t>pizzaria italian</t>
  </si>
  <si>
    <t>Óculos</t>
  </si>
  <si>
    <t>IPT</t>
  </si>
  <si>
    <t>Italian Pizza</t>
  </si>
  <si>
    <t>posto coelho lisboa</t>
  </si>
  <si>
    <t>prudential d*apol00020</t>
  </si>
  <si>
    <t>AV</t>
  </si>
  <si>
    <t>prudential d*apolsao paulobr</t>
  </si>
  <si>
    <t>CARRO</t>
  </si>
  <si>
    <t>MOTO</t>
  </si>
  <si>
    <t>GUTO</t>
  </si>
  <si>
    <t>UBER</t>
  </si>
  <si>
    <t>JOÃO</t>
  </si>
  <si>
    <t>FLAVIA</t>
  </si>
  <si>
    <t>FARMÁCIA</t>
  </si>
  <si>
    <t>METRÔ</t>
  </si>
  <si>
    <t>DEPOSITAR</t>
  </si>
  <si>
    <t>EXTRAS JOÃO</t>
  </si>
  <si>
    <t>IPTU SR 2</t>
  </si>
  <si>
    <t>IPTU SR 1</t>
  </si>
  <si>
    <t>Joaquim</t>
  </si>
  <si>
    <t>posto de servicos reim</t>
  </si>
  <si>
    <t>RECEBIDO</t>
  </si>
  <si>
    <t>Aberto</t>
  </si>
  <si>
    <t>A/P</t>
  </si>
  <si>
    <t>Extras J</t>
  </si>
  <si>
    <r>
      <t xml:space="preserve">Claro - </t>
    </r>
    <r>
      <rPr>
        <b/>
        <sz val="10"/>
        <color theme="1"/>
        <rFont val="Calibri"/>
        <family val="2"/>
        <scheme val="minor"/>
      </rPr>
      <t>Dia 15</t>
    </r>
  </si>
  <si>
    <r>
      <t xml:space="preserve">Gás - </t>
    </r>
    <r>
      <rPr>
        <b/>
        <sz val="10"/>
        <color theme="1"/>
        <rFont val="Calibri"/>
        <family val="2"/>
        <scheme val="minor"/>
      </rPr>
      <t>Dia 20</t>
    </r>
  </si>
  <si>
    <r>
      <t xml:space="preserve">Luz - </t>
    </r>
    <r>
      <rPr>
        <b/>
        <sz val="10"/>
        <color theme="1"/>
        <rFont val="Calibri"/>
        <family val="2"/>
        <scheme val="minor"/>
      </rPr>
      <t>Dia 28</t>
    </r>
  </si>
  <si>
    <r>
      <t xml:space="preserve">Condomínio - </t>
    </r>
    <r>
      <rPr>
        <b/>
        <sz val="10"/>
        <color theme="1"/>
        <rFont val="Calibri"/>
        <family val="2"/>
        <scheme val="minor"/>
      </rPr>
      <t>Dia 7</t>
    </r>
  </si>
  <si>
    <r>
      <t>Faculdade -</t>
    </r>
    <r>
      <rPr>
        <b/>
        <sz val="10"/>
        <color theme="1"/>
        <rFont val="Calibri"/>
        <family val="2"/>
        <scheme val="minor"/>
      </rPr>
      <t xml:space="preserve"> Dia 7</t>
    </r>
  </si>
  <si>
    <t>Cartão ITP (Banco)</t>
  </si>
  <si>
    <t>Cartão C6 (Banco)</t>
  </si>
  <si>
    <t>Ref/Lanche</t>
  </si>
  <si>
    <r>
      <t xml:space="preserve">Presente Flavia - </t>
    </r>
    <r>
      <rPr>
        <b/>
        <sz val="10"/>
        <color theme="1"/>
        <rFont val="Calibri"/>
        <family val="2"/>
      </rPr>
      <t>Cartão Flavia</t>
    </r>
  </si>
  <si>
    <t>Mata Cachorro Intruder</t>
  </si>
  <si>
    <t>Camiseta Time Lívia</t>
  </si>
  <si>
    <t>shopee *intimalivr01/03</t>
  </si>
  <si>
    <t>Fotos Ana</t>
  </si>
  <si>
    <t>Extras com João</t>
  </si>
  <si>
    <t>Extras com Flavia</t>
  </si>
  <si>
    <t>Outros Gastos</t>
  </si>
  <si>
    <t>Disponível João</t>
  </si>
  <si>
    <t>Disponível Flavia</t>
  </si>
  <si>
    <t>Disponível Outros</t>
  </si>
  <si>
    <t>Excedente João</t>
  </si>
  <si>
    <t>Excedente Flavia</t>
  </si>
  <si>
    <t>Total Geral</t>
  </si>
  <si>
    <t>Entrada</t>
  </si>
  <si>
    <t>Recebido</t>
  </si>
  <si>
    <t>Valores a Pagar</t>
  </si>
  <si>
    <t>Tipo Pagamento</t>
  </si>
  <si>
    <t>Val</t>
  </si>
  <si>
    <t>Cartão IT + IT2 (Banco)</t>
  </si>
  <si>
    <t>VD</t>
  </si>
  <si>
    <t>pg *gamers club ltda</t>
  </si>
  <si>
    <t>panificadora rainha da</t>
  </si>
  <si>
    <t>Mouse João</t>
  </si>
  <si>
    <t>Faca - Jogo João</t>
  </si>
  <si>
    <t>Padaria</t>
  </si>
  <si>
    <t>Amazonprimebr - FLAVIA</t>
  </si>
  <si>
    <t>Clube Ifood - FLAVIA</t>
  </si>
  <si>
    <t>Mp *melimais - FLAVIA</t>
  </si>
  <si>
    <t>amazon prime canais - FLAVIA</t>
  </si>
  <si>
    <t>centro automotivo sin</t>
  </si>
  <si>
    <t>Transf Flavia</t>
  </si>
  <si>
    <t>Way João</t>
  </si>
  <si>
    <t>Memória Computador João</t>
  </si>
  <si>
    <t>Google</t>
  </si>
  <si>
    <t>Ana - Fotos - 3 de 5</t>
  </si>
  <si>
    <t>99 App - da casa da Livia p/ cá</t>
  </si>
  <si>
    <t>Gasolina - Intruder</t>
  </si>
  <si>
    <t>Deposito PICPAY</t>
  </si>
  <si>
    <t>Pizza ANA</t>
  </si>
  <si>
    <t>Bateria Moto</t>
  </si>
  <si>
    <t>Cadeado Intruder</t>
  </si>
  <si>
    <t>Abraçadeira Moto</t>
  </si>
  <si>
    <t>Gasolina  - Titan</t>
  </si>
  <si>
    <t>99APP casa Lívia</t>
  </si>
  <si>
    <t>Roupas Joaquim (226,74)</t>
  </si>
  <si>
    <t>dellas oticas 06/10 adicional</t>
  </si>
  <si>
    <t>ifd*ss super lanches l</t>
  </si>
  <si>
    <t>shopee *lojachiqui01/03</t>
  </si>
  <si>
    <t>ingresso.com</t>
  </si>
  <si>
    <t>shopee*johnson ferreir</t>
  </si>
  <si>
    <t>shopee *lecom01/02</t>
  </si>
  <si>
    <t>shopee *bikeshopoficia</t>
  </si>
  <si>
    <t>dom lau tatuape</t>
  </si>
  <si>
    <t>shopee *campvendasmult</t>
  </si>
  <si>
    <t>shopee*sim ecom ltda</t>
  </si>
  <si>
    <t>shopee*50171913 felipe</t>
  </si>
  <si>
    <t>shopee*car de castro v</t>
  </si>
  <si>
    <t>mp *pontojinforma 02/03</t>
  </si>
  <si>
    <t>mp *bleikstore 03/06</t>
  </si>
  <si>
    <t>mlp*kabum-victory 03/04</t>
  </si>
  <si>
    <t>jim.com* 26269401 03/05</t>
  </si>
  <si>
    <t>shopee *intimalivr03/03</t>
  </si>
  <si>
    <t>paygo*poderoso tim03/03</t>
  </si>
  <si>
    <t>shopee*bruna crist04/04</t>
  </si>
  <si>
    <t>Anthropic</t>
  </si>
  <si>
    <t>prudential d*apol00020820</t>
  </si>
  <si>
    <t>Antropic</t>
  </si>
  <si>
    <t>MP FFC 02/03</t>
  </si>
  <si>
    <t>Shepora Anália Franco 08/08</t>
  </si>
  <si>
    <t>Placa de Vídeo</t>
  </si>
  <si>
    <t>Placa Mãe</t>
  </si>
  <si>
    <t>Processador</t>
  </si>
  <si>
    <t>keetabr*rdp restaurant</t>
  </si>
  <si>
    <t>shopee *brechochik01/06</t>
  </si>
  <si>
    <t>ifd*gransommer2 comerc</t>
  </si>
  <si>
    <t>mercadolivre*tntin01/10</t>
  </si>
  <si>
    <t>TeraByteShop</t>
  </si>
  <si>
    <t>Kanbum</t>
  </si>
  <si>
    <t>Mercado Livre - Impressora</t>
  </si>
  <si>
    <t>Impressora</t>
  </si>
  <si>
    <t>keetabr*tatu burguer p</t>
  </si>
  <si>
    <t>Hamburgueria - Flavia</t>
  </si>
  <si>
    <t>Mercado Livre - cooler João 01 de 03</t>
  </si>
  <si>
    <t>Cooler João</t>
  </si>
  <si>
    <t>amazonmktplc*smart01/09</t>
  </si>
  <si>
    <t>Outlet Radial</t>
  </si>
  <si>
    <t>Feira 5/9</t>
  </si>
  <si>
    <t>FIXOS</t>
  </si>
  <si>
    <t>SF Acabamentos - Cano Chuveiro</t>
  </si>
  <si>
    <t>Cano Chuveiro</t>
  </si>
  <si>
    <t>Fixos</t>
  </si>
  <si>
    <t>Ref\Lanche</t>
  </si>
  <si>
    <t>2 de 2</t>
  </si>
  <si>
    <t>4 de 4</t>
  </si>
  <si>
    <t>4 de 6</t>
  </si>
  <si>
    <t>2 de 10</t>
  </si>
  <si>
    <t>2 de 3</t>
  </si>
  <si>
    <t>3 de 3</t>
  </si>
  <si>
    <t>10 de 11</t>
  </si>
  <si>
    <t>7 de 10</t>
  </si>
  <si>
    <t>6 de 6</t>
  </si>
  <si>
    <t>4 de 5</t>
  </si>
  <si>
    <t>Transf. João</t>
  </si>
  <si>
    <t>MP *FFC 03/03</t>
  </si>
  <si>
    <t>TerabyteShop 02/10</t>
  </si>
  <si>
    <t>Kabum 02/10</t>
  </si>
  <si>
    <t>Mercado Livre 02/08</t>
  </si>
  <si>
    <t>Mercado Livre 02/03</t>
  </si>
  <si>
    <t>amazonmktplc*smart02/09</t>
  </si>
  <si>
    <t>mercadolivre*tntin02/10</t>
  </si>
  <si>
    <t>shopee *lojachiqui02/03</t>
  </si>
  <si>
    <t>shopee *lecom02/02</t>
  </si>
  <si>
    <t>mp *pontojinforma 03/03</t>
  </si>
  <si>
    <t>mp *bleikstore 04/06</t>
  </si>
  <si>
    <t>mlp*kabum-victory 04/04</t>
  </si>
  <si>
    <t>jim.com* 26269401 04/05</t>
  </si>
  <si>
    <t>dellas oticas 07/10 adicional</t>
  </si>
  <si>
    <t>Remédio Flavia</t>
  </si>
  <si>
    <t>1 de 2</t>
  </si>
  <si>
    <t>sapataria modelo</t>
  </si>
  <si>
    <t>mario pneus comerc01/04</t>
  </si>
  <si>
    <t>ultrafarma 01/02</t>
  </si>
  <si>
    <t>shopee*conveniencias a</t>
  </si>
  <si>
    <t>shopee *essenzamutaffl</t>
  </si>
  <si>
    <t>raia drogasil sa 01/03</t>
  </si>
  <si>
    <t>Anthropic Claude</t>
  </si>
  <si>
    <t>Jogo</t>
  </si>
  <si>
    <t>Mario pneus - Alinhamento</t>
  </si>
  <si>
    <t>1 de 4</t>
  </si>
  <si>
    <t>Dia Brasil</t>
  </si>
  <si>
    <t>Sapataria Modelo</t>
  </si>
  <si>
    <t>Monjaro</t>
  </si>
  <si>
    <t>1 de 3</t>
  </si>
  <si>
    <t>2 de 9</t>
  </si>
  <si>
    <t>Tijuco Esfiharia</t>
  </si>
  <si>
    <t>Impressora DEVOLVIDA</t>
  </si>
  <si>
    <t>Cinta borracha Filtro ar</t>
  </si>
  <si>
    <t>Feira - 19/09</t>
  </si>
  <si>
    <t>Açougue</t>
  </si>
  <si>
    <t>mp *funilariatatu 01/02</t>
  </si>
  <si>
    <t>troca de oleo parque s</t>
  </si>
  <si>
    <t>Panificadora Tatuapé</t>
  </si>
  <si>
    <t>Óleo</t>
  </si>
  <si>
    <t>Conserto retrovisor</t>
  </si>
  <si>
    <t>REFEIÇÃO / LANCHE</t>
  </si>
  <si>
    <t>TOTAL 
PAGO</t>
  </si>
  <si>
    <t>TOTAL 
GERAL</t>
  </si>
  <si>
    <t>TOTAL 
GASTOS</t>
  </si>
  <si>
    <t>GASTOS 
DO MÊS</t>
  </si>
  <si>
    <t>Oxxo</t>
  </si>
  <si>
    <t>shein.com*sheincom</t>
  </si>
  <si>
    <t>SUPERMERCADO</t>
  </si>
  <si>
    <t>Cuecas</t>
  </si>
  <si>
    <t>Shopee - borracha Caminhonete</t>
  </si>
  <si>
    <t>Shopee - Cueca</t>
  </si>
  <si>
    <t>TOTAL RECEBIDO</t>
  </si>
  <si>
    <t>TOTAL
PAGO</t>
  </si>
  <si>
    <t>GASTO</t>
  </si>
  <si>
    <t>À VISTA</t>
  </si>
  <si>
    <t>TIPO</t>
  </si>
  <si>
    <t>TOTAL    GERAL</t>
  </si>
  <si>
    <t>Mambo</t>
  </si>
  <si>
    <t>Case de Carnes Vilela</t>
  </si>
  <si>
    <t>Casa Tívole</t>
  </si>
  <si>
    <t>Ifood - João</t>
  </si>
  <si>
    <t>Cantina Pavanelli</t>
  </si>
  <si>
    <t>Supermercado - Pó lavar roupa</t>
  </si>
  <si>
    <t>Swift</t>
  </si>
  <si>
    <t>Chaves Burguer</t>
  </si>
  <si>
    <t>Mercado Livre - Supermercado</t>
  </si>
  <si>
    <t>Sendas</t>
  </si>
  <si>
    <t>kee*cantina e pizzar</t>
  </si>
  <si>
    <t>ricoovos</t>
  </si>
  <si>
    <t>hortifruti</t>
  </si>
  <si>
    <t>mambo</t>
  </si>
  <si>
    <t>nilviayamasato</t>
  </si>
  <si>
    <t>99food *wbc entretenim</t>
  </si>
  <si>
    <t>hortifruti marques</t>
  </si>
  <si>
    <t>netflix.com</t>
  </si>
  <si>
    <t>carnes vilela</t>
  </si>
  <si>
    <t>casativolipaese</t>
  </si>
  <si>
    <t>josecarlosviana</t>
  </si>
  <si>
    <t>99food *madero industr</t>
  </si>
  <si>
    <t>ifd*pizzaria alice ita</t>
  </si>
  <si>
    <t>Madero</t>
  </si>
  <si>
    <t>Caçamba Telhado</t>
  </si>
  <si>
    <t>Mundial Pães</t>
  </si>
  <si>
    <t>Lanchonete Suzana</t>
  </si>
  <si>
    <t>Construminas</t>
  </si>
  <si>
    <t>nescafe dolce gusto</t>
  </si>
  <si>
    <t>mercadolivre*mercadol</t>
  </si>
  <si>
    <t>shopee *laprimebeauty</t>
  </si>
  <si>
    <t>shopee *ylnovaltda</t>
  </si>
  <si>
    <t>shopee *bsmulti</t>
  </si>
  <si>
    <t>swift serra do japi</t>
  </si>
  <si>
    <t>mp *chavesburguer</t>
  </si>
  <si>
    <t>Dolce Gusto</t>
  </si>
  <si>
    <t>Roupa João</t>
  </si>
  <si>
    <t>Luizinho</t>
  </si>
  <si>
    <t>Procedimento Flavia</t>
  </si>
  <si>
    <t>Lavagem Caminhonete</t>
  </si>
  <si>
    <t>Lavagem Moto</t>
  </si>
  <si>
    <t>Empório - Pinga</t>
  </si>
  <si>
    <t>Ana - SR</t>
  </si>
  <si>
    <t>adriano m santos 01/02</t>
  </si>
  <si>
    <t>csfloat inc.</t>
  </si>
  <si>
    <t>celinhoautopecas 01/02</t>
  </si>
  <si>
    <t>posto da gruta ltda</t>
  </si>
  <si>
    <t>dl *uberrides</t>
  </si>
  <si>
    <t>dl*uberrides</t>
  </si>
  <si>
    <t>construminas</t>
  </si>
  <si>
    <t>unissul supermercado a</t>
  </si>
  <si>
    <t>iof compra internaciona</t>
  </si>
  <si>
    <t>Unissul Supermercado</t>
  </si>
  <si>
    <t>PLANILHA</t>
  </si>
  <si>
    <t>CARTÃO</t>
  </si>
  <si>
    <t>2 de 4</t>
  </si>
  <si>
    <t>5 de 6</t>
  </si>
  <si>
    <t>3 de 10</t>
  </si>
  <si>
    <t>3 de 6</t>
  </si>
  <si>
    <t>11 de 11</t>
  </si>
  <si>
    <t>3 de 9</t>
  </si>
  <si>
    <t>8 de 10</t>
  </si>
  <si>
    <t>5 de 5</t>
  </si>
  <si>
    <t>Marmitex</t>
  </si>
  <si>
    <t>Dentista Ana</t>
  </si>
  <si>
    <t>1 de 10</t>
  </si>
  <si>
    <t>Google Youtube Premium</t>
  </si>
  <si>
    <t>Ifood Clun</t>
  </si>
  <si>
    <t>Ifood Club</t>
  </si>
  <si>
    <t>À PAGAR</t>
  </si>
  <si>
    <t>EM CAIXA</t>
  </si>
  <si>
    <t>EXCEDENTE</t>
  </si>
  <si>
    <t>Corte Cabelo Pierre</t>
  </si>
  <si>
    <t>Lavagem</t>
  </si>
  <si>
    <t>Lavagem Titan</t>
  </si>
  <si>
    <t>Pinga - Empório</t>
  </si>
  <si>
    <t>Ana - Rosca</t>
  </si>
  <si>
    <t>Tonicar - Parafusos</t>
  </si>
  <si>
    <t>DESCONTO</t>
  </si>
  <si>
    <t>TOTAL</t>
  </si>
  <si>
    <t>Dia 11/10</t>
  </si>
  <si>
    <t>Shopee - WSRCMACHINES</t>
  </si>
  <si>
    <t>Shopee - COCONUTS</t>
  </si>
  <si>
    <t>Shopee - PIALSTOR</t>
  </si>
  <si>
    <t>Sheik Flavia</t>
  </si>
  <si>
    <t>Dia 10/10</t>
  </si>
  <si>
    <t>Dia 26/09</t>
  </si>
  <si>
    <t>Paçoquinha</t>
  </si>
  <si>
    <t>Bateria Computador</t>
  </si>
  <si>
    <t>Shopee Fortecom</t>
  </si>
  <si>
    <t>Keeta</t>
  </si>
  <si>
    <t>Açougue Vilela</t>
  </si>
  <si>
    <t>Exame Toxicológico</t>
  </si>
  <si>
    <t>Mac João</t>
  </si>
  <si>
    <t>Lanche Flavia</t>
  </si>
  <si>
    <t>NoteBook</t>
  </si>
  <si>
    <t>Uber Casa Lívia</t>
  </si>
  <si>
    <t>Esfiharia Tijuco</t>
  </si>
  <si>
    <t>Parmegiana</t>
  </si>
  <si>
    <t>Almoço Flavia/João - Japonês</t>
  </si>
  <si>
    <t>Mercado Livre 03/03</t>
  </si>
  <si>
    <t>Mercado Livre 03/08</t>
  </si>
  <si>
    <t>Kabum 03/10</t>
  </si>
  <si>
    <t>TerabyteShop 03/10</t>
  </si>
  <si>
    <t>MP *Neshastore 01/02</t>
  </si>
  <si>
    <t>MP *Neshastore 02/02</t>
  </si>
  <si>
    <t>Polipan paes e Doces</t>
  </si>
  <si>
    <t xml:space="preserve">Shopee Decoraet Casa e </t>
  </si>
  <si>
    <t>Valor prestação moto e cartão</t>
  </si>
  <si>
    <t>Saída João</t>
  </si>
  <si>
    <t>Pão</t>
  </si>
  <si>
    <t>Dia 17/10</t>
  </si>
  <si>
    <t>Valor dedivo Flavia</t>
  </si>
  <si>
    <t>Lanche Faculdade</t>
  </si>
  <si>
    <t>Ana</t>
  </si>
  <si>
    <t>Almoço Joao, Lívia</t>
  </si>
  <si>
    <t>Minha parte</t>
  </si>
  <si>
    <t>Parte João</t>
  </si>
  <si>
    <t>Parte Flavia</t>
  </si>
  <si>
    <t>Presente Flavia</t>
  </si>
  <si>
    <t/>
  </si>
  <si>
    <t>dellas oticas 08/10 adicional</t>
  </si>
  <si>
    <t>99food *temaki ya fw b</t>
  </si>
  <si>
    <t>ifoodcom agencia de r</t>
  </si>
  <si>
    <t>mp *rjeinformatic 01/06</t>
  </si>
  <si>
    <t>keetabr*cantina e pizz</t>
  </si>
  <si>
    <t>ifd*gomes sanchez hamb</t>
  </si>
  <si>
    <t>ifd*zamp s.a.</t>
  </si>
  <si>
    <t>exame tox labet 01/03</t>
  </si>
  <si>
    <t>jim.com* juliano d01/06</t>
  </si>
  <si>
    <t>shopee*lfz comercial l</t>
  </si>
  <si>
    <t>shopee*bassie ltda</t>
  </si>
  <si>
    <t>shopee *wsrcmachines</t>
  </si>
  <si>
    <t>shopee*39154996 claris</t>
  </si>
  <si>
    <t>huiyanli</t>
  </si>
  <si>
    <t>celinhoautopecas 02/02</t>
  </si>
  <si>
    <t>adriano m santos 02/02</t>
  </si>
  <si>
    <t>mp *funilariatatu 02/02</t>
  </si>
  <si>
    <t>mario pneus comerc02/04</t>
  </si>
  <si>
    <t>ultrafarma 02/02</t>
  </si>
  <si>
    <t>raia drogasil sa 02/03</t>
  </si>
  <si>
    <t>amazonmktplc*smart03/09</t>
  </si>
  <si>
    <t>mercadolivre*tntin03/10</t>
  </si>
  <si>
    <t>shopee *lojachiqui03/03</t>
  </si>
  <si>
    <t>mp *bleikstore 05/06</t>
  </si>
  <si>
    <t>jim.com* 26269401 05/05</t>
  </si>
  <si>
    <t>Maquininha</t>
  </si>
  <si>
    <t>1 de 6</t>
  </si>
  <si>
    <t>Reparo Computador</t>
  </si>
  <si>
    <t>5àSec</t>
  </si>
  <si>
    <t>Suporte Estepe</t>
  </si>
  <si>
    <t>Mercado Livre Suporte Estepe 01/03</t>
  </si>
  <si>
    <t>Salgado</t>
  </si>
  <si>
    <t>Resto deposito Vulcan</t>
  </si>
  <si>
    <t>Drogaria SP 01/02</t>
  </si>
  <si>
    <t>MP Ponto J</t>
  </si>
  <si>
    <t>Alexandre Pedreiro</t>
  </si>
  <si>
    <t>Panificadora Rainha</t>
  </si>
  <si>
    <t>Supermercado Lopes</t>
  </si>
  <si>
    <t>Dia 24/10</t>
  </si>
  <si>
    <t>mra servicos de lavand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</si>
</sst>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R$&quot;\ #,##0.00"/>
    <numFmt numFmtId="165" formatCode="dd/mm"/>
  </numFmts>
  <fonts count="77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rgb="FF3B3B3B"/>
      <name val="Itau Text"/>
    </font>
    <font>
      <sz val="8"/>
      <color theme="0"/>
      <name val="Calibri"/>
      <family val="2"/>
      <scheme val="minor"/>
    </font>
    <font>
      <b/>
      <sz val="13"/>
      <color theme="0"/>
      <name val="Itau Text"/>
    </font>
    <font>
      <b/>
      <sz val="18"/>
      <color theme="0"/>
      <name val="Wingdings 2"/>
      <family val="1"/>
      <charset val="2"/>
    </font>
    <font>
      <b/>
      <sz val="20"/>
      <color theme="0"/>
      <name val="Calibri"/>
      <family val="2"/>
      <scheme val="minor"/>
    </font>
    <font>
      <sz val="11"/>
      <color theme="1"/>
      <name val="Wingdings 2"/>
      <family val="1"/>
      <charset val="2"/>
    </font>
    <font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0"/>
      <name val="Calibri"/>
      <family val="2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16"/>
      <color theme="0"/>
      <name val="Wingdings 2"/>
      <family val="1"/>
      <charset val="2"/>
    </font>
    <font>
      <b/>
      <sz val="9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1"/>
      <color rgb="FF000032"/>
      <name val="Calibri"/>
      <family val="2"/>
      <scheme val="minor"/>
    </font>
    <font>
      <sz val="12"/>
      <color rgb="FF000032"/>
      <name val="Inherit"/>
    </font>
    <font>
      <b/>
      <sz val="11"/>
      <color theme="7" tint="0.39997558519241921"/>
      <name val="Calibri"/>
      <family val="2"/>
      <scheme val="minor"/>
    </font>
    <font>
      <sz val="16"/>
      <name val="Wingdings 2"/>
      <family val="1"/>
      <charset val="2"/>
    </font>
    <font>
      <sz val="11"/>
      <name val="Calibri"/>
      <family val="2"/>
      <scheme val="major"/>
    </font>
    <font>
      <sz val="24"/>
      <color theme="1"/>
      <name val="Wingdings 2"/>
      <family val="1"/>
      <charset val="2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9"/>
      <color theme="1"/>
      <name val="Calibri"/>
      <family val="2"/>
      <scheme val="major"/>
    </font>
    <font>
      <b/>
      <sz val="9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sz val="10"/>
      <color theme="0"/>
      <name val="Wingdings 2"/>
      <family val="1"/>
      <charset val="2"/>
    </font>
    <font>
      <sz val="12"/>
      <name val="Itau Text"/>
    </font>
  </fonts>
  <fills count="3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00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rgb="FFFFFF00"/>
      </patternFill>
    </fill>
    <fill>
      <patternFill patternType="solid">
        <fgColor theme="8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 tint="0.39997558519241921"/>
        <bgColor rgb="FFFFFF00"/>
      </patternFill>
    </fill>
    <fill>
      <patternFill patternType="solid">
        <fgColor rgb="FFC00000"/>
        <bgColor rgb="FFFFFF00"/>
      </patternFill>
    </fill>
    <fill>
      <patternFill patternType="solid">
        <fgColor rgb="FFFFFF00"/>
        <bgColor theme="0"/>
      </patternFill>
    </fill>
    <fill>
      <patternFill patternType="solid">
        <fgColor theme="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14999847407452621"/>
        <bgColor indexed="64"/>
      </patternFill>
    </fill>
  </fills>
  <borders count="82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/>
      <bottom style="thin">
        <color theme="1"/>
      </bottom>
      <diagonal/>
    </border>
    <border>
      <left/>
      <right style="thin">
        <color theme="0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0"/>
      </right>
      <top/>
      <bottom style="thin">
        <color theme="1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</borders>
  <cellStyleXfs count="10">
    <xf numFmtId="0" fontId="0" fillId="0" borderId="0"/>
    <xf numFmtId="0" fontId="24" fillId="0" borderId="11"/>
    <xf numFmtId="44" fontId="24" fillId="0" borderId="11" applyFont="0" applyFill="0" applyBorder="0" applyAlignment="0" applyProtection="0"/>
    <xf numFmtId="0" fontId="23" fillId="0" borderId="11"/>
    <xf numFmtId="44" fontId="27" fillId="0" borderId="0" applyFont="0" applyFill="0" applyBorder="0" applyAlignment="0" applyProtection="0"/>
    <xf numFmtId="0" fontId="22" fillId="0" borderId="11"/>
    <xf numFmtId="0" fontId="21" fillId="0" borderId="11"/>
    <xf numFmtId="0" fontId="20" fillId="0" borderId="11"/>
    <xf numFmtId="0" fontId="19" fillId="0" borderId="11"/>
    <xf numFmtId="0" fontId="11" fillId="0" borderId="11"/>
  </cellStyleXfs>
  <cellXfs count="915">
    <xf numFmtId="0" fontId="0" fillId="0" borderId="0" xfId="0"/>
    <xf numFmtId="0" fontId="42" fillId="4" borderId="11" xfId="0" applyFont="1" applyFill="1" applyBorder="1" applyAlignment="1">
      <alignment vertical="center" wrapText="1"/>
    </xf>
    <xf numFmtId="164" fontId="42" fillId="4" borderId="11" xfId="0" applyNumberFormat="1" applyFont="1" applyFill="1" applyBorder="1" applyAlignment="1">
      <alignment horizontal="center" vertical="center" wrapText="1"/>
    </xf>
    <xf numFmtId="0" fontId="19" fillId="14" borderId="11" xfId="8" applyFill="1" applyAlignment="1">
      <alignment horizontal="center" vertical="center"/>
    </xf>
    <xf numFmtId="0" fontId="50" fillId="14" borderId="11" xfId="8" applyFont="1" applyFill="1" applyBorder="1"/>
    <xf numFmtId="0" fontId="19" fillId="14" borderId="11" xfId="8" applyFill="1"/>
    <xf numFmtId="0" fontId="19" fillId="14" borderId="11" xfId="8" applyFill="1" applyBorder="1" applyAlignment="1">
      <alignment horizontal="center" vertical="center"/>
    </xf>
    <xf numFmtId="0" fontId="31" fillId="14" borderId="11" xfId="8" applyFont="1" applyFill="1" applyBorder="1" applyAlignment="1">
      <alignment horizontal="center" vertical="center"/>
    </xf>
    <xf numFmtId="0" fontId="35" fillId="14" borderId="11" xfId="8" applyFont="1" applyFill="1" applyBorder="1" applyAlignment="1">
      <alignment horizontal="center" vertical="center"/>
    </xf>
    <xf numFmtId="0" fontId="50" fillId="14" borderId="11" xfId="8" applyFont="1" applyFill="1" applyBorder="1" applyAlignment="1">
      <alignment horizontal="center" vertical="center"/>
    </xf>
    <xf numFmtId="0" fontId="19" fillId="14" borderId="11" xfId="8" applyFont="1" applyFill="1" applyBorder="1"/>
    <xf numFmtId="0" fontId="19" fillId="14" borderId="11" xfId="8" applyFont="1" applyFill="1" applyBorder="1" applyAlignment="1">
      <alignment horizontal="center"/>
    </xf>
    <xf numFmtId="0" fontId="19" fillId="14" borderId="11" xfId="8" applyFont="1" applyFill="1" applyBorder="1" applyAlignment="1">
      <alignment horizontal="center" vertical="center"/>
    </xf>
    <xf numFmtId="164" fontId="35" fillId="14" borderId="11" xfId="8" applyNumberFormat="1" applyFont="1" applyFill="1" applyAlignment="1">
      <alignment horizontal="center" vertical="center"/>
    </xf>
    <xf numFmtId="0" fontId="19" fillId="14" borderId="11" xfId="8" applyFill="1" applyAlignment="1">
      <alignment horizontal="left" vertical="center"/>
    </xf>
    <xf numFmtId="164" fontId="19" fillId="14" borderId="11" xfId="8" applyNumberFormat="1" applyFill="1" applyAlignment="1">
      <alignment horizontal="center" vertical="center"/>
    </xf>
    <xf numFmtId="164" fontId="19" fillId="14" borderId="11" xfId="8" applyNumberFormat="1" applyFill="1"/>
    <xf numFmtId="164" fontId="19" fillId="14" borderId="11" xfId="8" applyNumberFormat="1" applyFont="1" applyFill="1" applyAlignment="1">
      <alignment horizontal="center" vertical="center"/>
    </xf>
    <xf numFmtId="0" fontId="19" fillId="14" borderId="11" xfId="8" applyFill="1" applyAlignment="1">
      <alignment horizontal="center"/>
    </xf>
    <xf numFmtId="0" fontId="50" fillId="14" borderId="11" xfId="8" applyFont="1" applyFill="1"/>
    <xf numFmtId="0" fontId="19" fillId="14" borderId="11" xfId="8" applyFont="1" applyFill="1"/>
    <xf numFmtId="0" fontId="19" fillId="15" borderId="7" xfId="8" applyFill="1" applyBorder="1" applyAlignment="1">
      <alignment horizontal="center" vertical="center"/>
    </xf>
    <xf numFmtId="0" fontId="19" fillId="15" borderId="9" xfId="8" applyFill="1" applyBorder="1" applyAlignment="1">
      <alignment horizontal="center" vertical="center"/>
    </xf>
    <xf numFmtId="0" fontId="30" fillId="15" borderId="8" xfId="8" applyFont="1" applyFill="1" applyBorder="1" applyAlignment="1">
      <alignment horizontal="center" vertical="center"/>
    </xf>
    <xf numFmtId="0" fontId="19" fillId="14" borderId="11" xfId="8" applyFill="1" applyBorder="1" applyAlignment="1">
      <alignment horizontal="center"/>
    </xf>
    <xf numFmtId="0" fontId="30" fillId="14" borderId="11" xfId="8" applyFont="1" applyFill="1" applyBorder="1" applyAlignment="1">
      <alignment horizontal="center" vertical="center"/>
    </xf>
    <xf numFmtId="0" fontId="30" fillId="14" borderId="11" xfId="8" applyFont="1" applyFill="1" applyBorder="1" applyAlignment="1">
      <alignment horizontal="left" vertical="center"/>
    </xf>
    <xf numFmtId="0" fontId="19" fillId="4" borderId="11" xfId="8" applyFill="1"/>
    <xf numFmtId="0" fontId="19" fillId="4" borderId="11" xfId="8" applyFill="1" applyBorder="1" applyAlignment="1">
      <alignment horizontal="center"/>
    </xf>
    <xf numFmtId="0" fontId="19" fillId="4" borderId="11" xfId="8" applyFill="1" applyAlignment="1">
      <alignment horizontal="center" vertical="center"/>
    </xf>
    <xf numFmtId="0" fontId="19" fillId="15" borderId="10" xfId="8" applyFill="1" applyBorder="1" applyAlignment="1">
      <alignment horizontal="center" vertical="center"/>
    </xf>
    <xf numFmtId="0" fontId="19" fillId="15" borderId="11" xfId="8" applyFill="1" applyBorder="1" applyAlignment="1">
      <alignment horizontal="center" vertical="center"/>
    </xf>
    <xf numFmtId="0" fontId="30" fillId="15" borderId="1" xfId="8" applyFont="1" applyFill="1" applyBorder="1" applyAlignment="1">
      <alignment horizontal="center" vertical="center"/>
    </xf>
    <xf numFmtId="164" fontId="45" fillId="10" borderId="3" xfId="8" applyNumberFormat="1" applyFont="1" applyFill="1" applyBorder="1" applyAlignment="1">
      <alignment horizontal="center" vertical="center"/>
    </xf>
    <xf numFmtId="164" fontId="19" fillId="4" borderId="19" xfId="8" applyNumberFormat="1" applyFont="1" applyFill="1" applyBorder="1" applyAlignment="1">
      <alignment horizontal="center" vertical="center"/>
    </xf>
    <xf numFmtId="0" fontId="19" fillId="4" borderId="11" xfId="8" applyFill="1" applyAlignment="1">
      <alignment horizontal="center"/>
    </xf>
    <xf numFmtId="0" fontId="28" fillId="4" borderId="11" xfId="8" applyFont="1" applyFill="1" applyBorder="1" applyAlignment="1">
      <alignment horizontal="center"/>
    </xf>
    <xf numFmtId="0" fontId="28" fillId="4" borderId="11" xfId="8" applyFont="1" applyFill="1" applyAlignment="1">
      <alignment horizontal="center" vertical="center"/>
    </xf>
    <xf numFmtId="0" fontId="19" fillId="4" borderId="11" xfId="8" applyFont="1" applyFill="1" applyBorder="1" applyAlignment="1">
      <alignment horizontal="center" vertical="center"/>
    </xf>
    <xf numFmtId="0" fontId="19" fillId="4" borderId="11" xfId="8" applyFont="1" applyFill="1" applyAlignment="1">
      <alignment horizontal="center" vertical="center"/>
    </xf>
    <xf numFmtId="0" fontId="47" fillId="14" borderId="11" xfId="8" applyFont="1" applyFill="1"/>
    <xf numFmtId="164" fontId="19" fillId="15" borderId="1" xfId="8" applyNumberFormat="1" applyFill="1" applyBorder="1" applyAlignment="1">
      <alignment horizontal="center"/>
    </xf>
    <xf numFmtId="0" fontId="19" fillId="4" borderId="11" xfId="8" applyFill="1" applyBorder="1" applyAlignment="1">
      <alignment horizontal="left" vertical="center"/>
    </xf>
    <xf numFmtId="164" fontId="19" fillId="4" borderId="12" xfId="8" applyNumberFormat="1" applyFont="1" applyFill="1" applyBorder="1" applyAlignment="1">
      <alignment horizontal="center" vertical="center"/>
    </xf>
    <xf numFmtId="0" fontId="19" fillId="4" borderId="17" xfId="8" applyFill="1" applyBorder="1" applyAlignment="1"/>
    <xf numFmtId="164" fontId="19" fillId="4" borderId="20" xfId="8" applyNumberFormat="1" applyFill="1" applyBorder="1" applyAlignment="1">
      <alignment horizontal="center" vertical="center"/>
    </xf>
    <xf numFmtId="164" fontId="19" fillId="4" borderId="19" xfId="8" applyNumberFormat="1" applyFill="1" applyBorder="1" applyAlignment="1">
      <alignment horizontal="center" vertical="center"/>
    </xf>
    <xf numFmtId="164" fontId="30" fillId="10" borderId="35" xfId="8" applyNumberFormat="1" applyFont="1" applyFill="1" applyBorder="1" applyAlignment="1">
      <alignment horizontal="center" vertical="center"/>
    </xf>
    <xf numFmtId="164" fontId="46" fillId="10" borderId="1" xfId="8" applyNumberFormat="1" applyFont="1" applyFill="1" applyBorder="1" applyAlignment="1">
      <alignment horizontal="center" vertical="top"/>
    </xf>
    <xf numFmtId="164" fontId="19" fillId="4" borderId="18" xfId="8" applyNumberFormat="1" applyFont="1" applyFill="1" applyBorder="1" applyAlignment="1">
      <alignment horizontal="center" vertical="center"/>
    </xf>
    <xf numFmtId="0" fontId="19" fillId="4" borderId="17" xfId="8" applyFont="1" applyFill="1" applyBorder="1" applyAlignment="1"/>
    <xf numFmtId="0" fontId="19" fillId="4" borderId="19" xfId="8" applyFont="1" applyFill="1" applyBorder="1" applyAlignment="1"/>
    <xf numFmtId="164" fontId="19" fillId="4" borderId="26" xfId="8" applyNumberFormat="1" applyFont="1" applyFill="1" applyBorder="1" applyAlignment="1">
      <alignment horizontal="center" vertical="center"/>
    </xf>
    <xf numFmtId="164" fontId="19" fillId="14" borderId="11" xfId="8" applyNumberFormat="1" applyFill="1" applyBorder="1" applyAlignment="1">
      <alignment horizontal="center" vertical="center"/>
    </xf>
    <xf numFmtId="0" fontId="51" fillId="14" borderId="11" xfId="8" applyFont="1" applyFill="1" applyAlignment="1">
      <alignment horizontal="center" vertical="center"/>
    </xf>
    <xf numFmtId="0" fontId="49" fillId="15" borderId="44" xfId="8" applyFont="1" applyFill="1" applyBorder="1" applyAlignment="1">
      <alignment horizontal="center" vertical="center"/>
    </xf>
    <xf numFmtId="164" fontId="50" fillId="5" borderId="18" xfId="8" applyNumberFormat="1" applyFont="1" applyFill="1" applyBorder="1" applyAlignment="1">
      <alignment horizontal="left" vertical="center"/>
    </xf>
    <xf numFmtId="0" fontId="19" fillId="14" borderId="11" xfId="8" applyFill="1" applyBorder="1"/>
    <xf numFmtId="164" fontId="50" fillId="4" borderId="18" xfId="8" applyNumberFormat="1" applyFont="1" applyFill="1" applyBorder="1" applyAlignment="1">
      <alignment horizontal="center" vertical="center"/>
    </xf>
    <xf numFmtId="164" fontId="30" fillId="10" borderId="1" xfId="8" applyNumberFormat="1" applyFont="1" applyFill="1" applyBorder="1" applyAlignment="1">
      <alignment horizontal="center" vertical="center"/>
    </xf>
    <xf numFmtId="0" fontId="19" fillId="4" borderId="18" xfId="8" applyFill="1" applyBorder="1" applyAlignment="1"/>
    <xf numFmtId="0" fontId="19" fillId="15" borderId="11" xfId="8" applyFill="1" applyBorder="1" applyAlignment="1">
      <alignment horizontal="center"/>
    </xf>
    <xf numFmtId="0" fontId="49" fillId="15" borderId="26" xfId="8" applyFont="1" applyFill="1" applyBorder="1" applyAlignment="1">
      <alignment horizontal="center" vertical="center"/>
    </xf>
    <xf numFmtId="0" fontId="19" fillId="4" borderId="19" xfId="8" applyFill="1" applyBorder="1" applyAlignment="1"/>
    <xf numFmtId="0" fontId="19" fillId="4" borderId="18" xfId="8" applyFill="1" applyBorder="1" applyAlignment="1">
      <alignment horizontal="left" vertical="center"/>
    </xf>
    <xf numFmtId="0" fontId="19" fillId="4" borderId="18" xfId="8" applyFill="1" applyBorder="1" applyAlignment="1">
      <alignment horizontal="center" vertical="center"/>
    </xf>
    <xf numFmtId="164" fontId="50" fillId="5" borderId="19" xfId="8" applyNumberFormat="1" applyFont="1" applyFill="1" applyBorder="1" applyAlignment="1">
      <alignment horizontal="left" vertical="center"/>
    </xf>
    <xf numFmtId="164" fontId="50" fillId="4" borderId="19" xfId="8" applyNumberFormat="1" applyFont="1" applyFill="1" applyBorder="1" applyAlignment="1">
      <alignment horizontal="center" vertical="center"/>
    </xf>
    <xf numFmtId="164" fontId="19" fillId="4" borderId="18" xfId="8" applyNumberFormat="1" applyFill="1" applyBorder="1" applyAlignment="1">
      <alignment horizontal="left" vertical="center"/>
    </xf>
    <xf numFmtId="0" fontId="49" fillId="15" borderId="48" xfId="8" applyFont="1" applyFill="1" applyBorder="1" applyAlignment="1">
      <alignment horizontal="center" vertical="center"/>
    </xf>
    <xf numFmtId="164" fontId="50" fillId="5" borderId="23" xfId="8" applyNumberFormat="1" applyFont="1" applyFill="1" applyBorder="1" applyAlignment="1">
      <alignment horizontal="left" vertical="center"/>
    </xf>
    <xf numFmtId="164" fontId="50" fillId="4" borderId="17" xfId="8" applyNumberFormat="1" applyFont="1" applyFill="1" applyBorder="1" applyAlignment="1">
      <alignment horizontal="center" vertical="center"/>
    </xf>
    <xf numFmtId="164" fontId="19" fillId="15" borderId="10" xfId="8" applyNumberFormat="1" applyFill="1" applyBorder="1" applyAlignment="1">
      <alignment horizontal="center" vertical="center"/>
    </xf>
    <xf numFmtId="0" fontId="49" fillId="15" borderId="43" xfId="8" applyFont="1" applyFill="1" applyBorder="1" applyAlignment="1">
      <alignment horizontal="center" vertical="center"/>
    </xf>
    <xf numFmtId="164" fontId="50" fillId="5" borderId="27" xfId="8" applyNumberFormat="1" applyFont="1" applyFill="1" applyBorder="1" applyAlignment="1">
      <alignment horizontal="left" vertical="center"/>
    </xf>
    <xf numFmtId="0" fontId="49" fillId="15" borderId="52" xfId="8" applyFont="1" applyFill="1" applyBorder="1" applyAlignment="1">
      <alignment horizontal="center" vertical="center"/>
    </xf>
    <xf numFmtId="164" fontId="50" fillId="5" borderId="25" xfId="8" applyNumberFormat="1" applyFont="1" applyFill="1" applyBorder="1" applyAlignment="1">
      <alignment horizontal="left" vertical="center"/>
    </xf>
    <xf numFmtId="164" fontId="19" fillId="15" borderId="11" xfId="8" applyNumberFormat="1" applyFill="1" applyBorder="1" applyAlignment="1">
      <alignment horizontal="center" vertical="center"/>
    </xf>
    <xf numFmtId="0" fontId="19" fillId="15" borderId="1" xfId="8" applyFill="1" applyBorder="1" applyAlignment="1">
      <alignment horizontal="center"/>
    </xf>
    <xf numFmtId="0" fontId="25" fillId="5" borderId="18" xfId="8" applyFont="1" applyFill="1" applyBorder="1" applyAlignment="1">
      <alignment vertical="center"/>
    </xf>
    <xf numFmtId="0" fontId="19" fillId="15" borderId="33" xfId="8" applyFill="1" applyBorder="1" applyAlignment="1">
      <alignment horizontal="center" vertical="center"/>
    </xf>
    <xf numFmtId="0" fontId="19" fillId="15" borderId="4" xfId="8" applyFill="1" applyBorder="1" applyAlignment="1">
      <alignment horizontal="center" vertical="center"/>
    </xf>
    <xf numFmtId="0" fontId="19" fillId="15" borderId="4" xfId="8" applyFill="1" applyBorder="1" applyAlignment="1">
      <alignment horizontal="center"/>
    </xf>
    <xf numFmtId="0" fontId="19" fillId="15" borderId="34" xfId="8" applyFill="1" applyBorder="1" applyAlignment="1">
      <alignment horizontal="center"/>
    </xf>
    <xf numFmtId="0" fontId="19" fillId="14" borderId="11" xfId="8" applyFill="1" applyBorder="1" applyAlignment="1">
      <alignment horizontal="left" vertical="center"/>
    </xf>
    <xf numFmtId="0" fontId="25" fillId="5" borderId="18" xfId="8" applyFont="1" applyFill="1" applyBorder="1" applyAlignment="1">
      <alignment horizontal="left" vertical="center"/>
    </xf>
    <xf numFmtId="0" fontId="19" fillId="15" borderId="9" xfId="8" applyFill="1" applyBorder="1" applyAlignment="1">
      <alignment horizontal="left" vertical="center"/>
    </xf>
    <xf numFmtId="0" fontId="19" fillId="15" borderId="11" xfId="8" applyFont="1" applyFill="1" applyBorder="1"/>
    <xf numFmtId="0" fontId="19" fillId="15" borderId="11" xfId="8" applyFont="1" applyFill="1" applyBorder="1" applyAlignment="1">
      <alignment horizontal="center"/>
    </xf>
    <xf numFmtId="0" fontId="19" fillId="15" borderId="11" xfId="8" applyFill="1" applyBorder="1" applyAlignment="1">
      <alignment horizontal="left" vertical="center"/>
    </xf>
    <xf numFmtId="164" fontId="54" fillId="19" borderId="18" xfId="8" applyNumberFormat="1" applyFont="1" applyFill="1" applyBorder="1" applyAlignment="1">
      <alignment horizontal="left" vertical="center"/>
    </xf>
    <xf numFmtId="164" fontId="25" fillId="19" borderId="18" xfId="8" applyNumberFormat="1" applyFont="1" applyFill="1" applyBorder="1" applyAlignment="1">
      <alignment horizontal="left" vertical="center"/>
    </xf>
    <xf numFmtId="164" fontId="31" fillId="23" borderId="5" xfId="8" applyNumberFormat="1" applyFont="1" applyFill="1" applyBorder="1" applyAlignment="1">
      <alignment horizontal="center" vertical="center"/>
    </xf>
    <xf numFmtId="0" fontId="30" fillId="10" borderId="5" xfId="8" applyFont="1" applyFill="1" applyBorder="1" applyAlignment="1">
      <alignment horizontal="left" vertical="center"/>
    </xf>
    <xf numFmtId="164" fontId="31" fillId="23" borderId="3" xfId="8" applyNumberFormat="1" applyFont="1" applyFill="1" applyBorder="1" applyAlignment="1">
      <alignment horizontal="center" vertical="center"/>
    </xf>
    <xf numFmtId="0" fontId="30" fillId="10" borderId="3" xfId="8" applyFont="1" applyFill="1" applyBorder="1" applyAlignment="1">
      <alignment horizontal="left" vertical="center"/>
    </xf>
    <xf numFmtId="164" fontId="31" fillId="10" borderId="10" xfId="8" applyNumberFormat="1" applyFont="1" applyFill="1" applyBorder="1" applyAlignment="1">
      <alignment horizontal="center" vertical="center"/>
    </xf>
    <xf numFmtId="0" fontId="30" fillId="10" borderId="6" xfId="8" applyFont="1" applyFill="1" applyBorder="1" applyAlignment="1">
      <alignment horizontal="left" vertical="center"/>
    </xf>
    <xf numFmtId="164" fontId="31" fillId="23" borderId="6" xfId="8" applyNumberFormat="1" applyFont="1" applyFill="1" applyBorder="1" applyAlignment="1">
      <alignment horizontal="center" vertical="center"/>
    </xf>
    <xf numFmtId="164" fontId="43" fillId="10" borderId="10" xfId="8" applyNumberFormat="1" applyFont="1" applyFill="1" applyBorder="1" applyAlignment="1">
      <alignment horizontal="center" vertical="center"/>
    </xf>
    <xf numFmtId="0" fontId="42" fillId="4" borderId="11" xfId="8" applyFont="1" applyFill="1" applyBorder="1" applyAlignment="1">
      <alignment vertical="center" wrapText="1"/>
    </xf>
    <xf numFmtId="164" fontId="42" fillId="4" borderId="11" xfId="8" applyNumberFormat="1" applyFont="1" applyFill="1" applyBorder="1" applyAlignment="1">
      <alignment horizontal="center" vertical="center" wrapText="1"/>
    </xf>
    <xf numFmtId="0" fontId="30" fillId="10" borderId="3" xfId="8" quotePrefix="1" applyFont="1" applyFill="1" applyBorder="1" applyAlignment="1">
      <alignment horizontal="left" vertical="center"/>
    </xf>
    <xf numFmtId="0" fontId="42" fillId="4" borderId="11" xfId="8" applyFont="1" applyFill="1" applyBorder="1" applyAlignment="1">
      <alignment horizontal="center" vertical="center" wrapText="1"/>
    </xf>
    <xf numFmtId="0" fontId="30" fillId="17" borderId="6" xfId="8" applyFont="1" applyFill="1" applyBorder="1" applyAlignment="1">
      <alignment horizontal="left" vertical="center"/>
    </xf>
    <xf numFmtId="0" fontId="19" fillId="15" borderId="34" xfId="8" applyFill="1" applyBorder="1" applyAlignment="1">
      <alignment horizontal="center" vertical="center"/>
    </xf>
    <xf numFmtId="164" fontId="42" fillId="4" borderId="11" xfId="8" applyNumberFormat="1" applyFont="1" applyFill="1" applyBorder="1" applyAlignment="1">
      <alignment horizontal="center" vertical="center"/>
    </xf>
    <xf numFmtId="0" fontId="19" fillId="15" borderId="8" xfId="8" applyFill="1" applyBorder="1"/>
    <xf numFmtId="0" fontId="19" fillId="15" borderId="1" xfId="8" applyFont="1" applyFill="1" applyBorder="1"/>
    <xf numFmtId="0" fontId="42" fillId="4" borderId="11" xfId="8" applyFont="1" applyFill="1" applyBorder="1" applyAlignment="1">
      <alignment horizontal="left" vertical="center" wrapText="1"/>
    </xf>
    <xf numFmtId="0" fontId="19" fillId="15" borderId="1" xfId="8" applyFill="1" applyBorder="1"/>
    <xf numFmtId="0" fontId="19" fillId="14" borderId="11" xfId="8" applyFont="1" applyFill="1" applyAlignment="1">
      <alignment horizontal="center"/>
    </xf>
    <xf numFmtId="164" fontId="19" fillId="14" borderId="7" xfId="8" applyNumberFormat="1" applyFill="1" applyBorder="1"/>
    <xf numFmtId="164" fontId="19" fillId="14" borderId="33" xfId="8" applyNumberFormat="1" applyFill="1" applyBorder="1"/>
    <xf numFmtId="164" fontId="45" fillId="10" borderId="5" xfId="8" applyNumberFormat="1" applyFont="1" applyFill="1" applyBorder="1" applyAlignment="1">
      <alignment horizontal="center" vertical="center"/>
    </xf>
    <xf numFmtId="164" fontId="45" fillId="10" borderId="6" xfId="8" applyNumberFormat="1" applyFont="1" applyFill="1" applyBorder="1" applyAlignment="1">
      <alignment horizontal="center" vertical="center"/>
    </xf>
    <xf numFmtId="164" fontId="46" fillId="10" borderId="34" xfId="8" applyNumberFormat="1" applyFont="1" applyFill="1" applyBorder="1" applyAlignment="1">
      <alignment horizontal="center" vertical="top"/>
    </xf>
    <xf numFmtId="164" fontId="43" fillId="10" borderId="7" xfId="8" applyNumberFormat="1" applyFont="1" applyFill="1" applyBorder="1" applyAlignment="1">
      <alignment horizontal="center" vertical="center"/>
    </xf>
    <xf numFmtId="165" fontId="42" fillId="4" borderId="11" xfId="8" applyNumberFormat="1" applyFont="1" applyFill="1" applyBorder="1" applyAlignment="1">
      <alignment horizontal="center" vertical="center" wrapText="1"/>
    </xf>
    <xf numFmtId="0" fontId="19" fillId="15" borderId="11" xfId="8" applyFill="1" applyAlignment="1">
      <alignment horizontal="center"/>
    </xf>
    <xf numFmtId="164" fontId="19" fillId="4" borderId="17" xfId="8" applyNumberFormat="1" applyFill="1" applyBorder="1" applyAlignment="1">
      <alignment horizontal="center" vertical="center"/>
    </xf>
    <xf numFmtId="0" fontId="19" fillId="4" borderId="11" xfId="8" applyFill="1" applyBorder="1" applyAlignment="1">
      <alignment horizontal="center" vertical="center"/>
    </xf>
    <xf numFmtId="0" fontId="18" fillId="4" borderId="11" xfId="8" applyFont="1" applyFill="1" applyAlignment="1">
      <alignment horizontal="center" vertical="center"/>
    </xf>
    <xf numFmtId="164" fontId="31" fillId="17" borderId="56" xfId="8" applyNumberFormat="1" applyFont="1" applyFill="1" applyBorder="1" applyAlignment="1">
      <alignment horizontal="center" vertical="center"/>
    </xf>
    <xf numFmtId="164" fontId="31" fillId="17" borderId="57" xfId="8" applyNumberFormat="1" applyFont="1" applyFill="1" applyBorder="1" applyAlignment="1">
      <alignment horizontal="center" vertical="center"/>
    </xf>
    <xf numFmtId="164" fontId="31" fillId="17" borderId="58" xfId="8" applyNumberFormat="1" applyFont="1" applyFill="1" applyBorder="1" applyAlignment="1">
      <alignment horizontal="center" vertical="center"/>
    </xf>
    <xf numFmtId="0" fontId="30" fillId="17" borderId="56" xfId="8" applyFont="1" applyFill="1" applyBorder="1" applyAlignment="1">
      <alignment horizontal="left" vertical="center"/>
    </xf>
    <xf numFmtId="0" fontId="19" fillId="15" borderId="11" xfId="8" applyFont="1" applyFill="1" applyBorder="1" applyAlignment="1">
      <alignment horizontal="center" vertical="center"/>
    </xf>
    <xf numFmtId="0" fontId="17" fillId="15" borderId="11" xfId="8" applyFont="1" applyFill="1" applyBorder="1" applyAlignment="1">
      <alignment horizontal="center"/>
    </xf>
    <xf numFmtId="164" fontId="30" fillId="17" borderId="22" xfId="8" applyNumberFormat="1" applyFont="1" applyFill="1" applyBorder="1" applyAlignment="1">
      <alignment horizontal="center" vertical="center"/>
    </xf>
    <xf numFmtId="164" fontId="30" fillId="4" borderId="3" xfId="8" applyNumberFormat="1" applyFont="1" applyFill="1" applyBorder="1" applyAlignment="1">
      <alignment horizontal="center" vertical="center"/>
    </xf>
    <xf numFmtId="164" fontId="30" fillId="4" borderId="13" xfId="8" applyNumberFormat="1" applyFont="1" applyFill="1" applyBorder="1" applyAlignment="1">
      <alignment horizontal="center" vertical="center"/>
    </xf>
    <xf numFmtId="1" fontId="36" fillId="10" borderId="10" xfId="8" applyNumberFormat="1" applyFont="1" applyFill="1" applyBorder="1" applyAlignment="1">
      <alignment horizontal="center" vertical="center"/>
    </xf>
    <xf numFmtId="1" fontId="49" fillId="10" borderId="1" xfId="8" applyNumberFormat="1" applyFont="1" applyFill="1" applyBorder="1" applyAlignment="1">
      <alignment horizontal="center" vertical="center"/>
    </xf>
    <xf numFmtId="164" fontId="49" fillId="10" borderId="11" xfId="8" applyNumberFormat="1" applyFont="1" applyFill="1" applyBorder="1" applyAlignment="1">
      <alignment horizontal="center" vertical="center"/>
    </xf>
    <xf numFmtId="164" fontId="55" fillId="4" borderId="3" xfId="8" applyNumberFormat="1" applyFont="1" applyFill="1" applyBorder="1" applyAlignment="1">
      <alignment horizontal="center" vertical="center"/>
    </xf>
    <xf numFmtId="164" fontId="55" fillId="4" borderId="13" xfId="8" applyNumberFormat="1" applyFont="1" applyFill="1" applyBorder="1" applyAlignment="1">
      <alignment horizontal="center" vertical="center"/>
    </xf>
    <xf numFmtId="1" fontId="36" fillId="10" borderId="22" xfId="8" applyNumberFormat="1" applyFont="1" applyFill="1" applyBorder="1" applyAlignment="1">
      <alignment horizontal="center" vertical="center"/>
    </xf>
    <xf numFmtId="164" fontId="49" fillId="10" borderId="16" xfId="8" applyNumberFormat="1" applyFont="1" applyFill="1" applyBorder="1" applyAlignment="1">
      <alignment horizontal="center" vertical="center"/>
    </xf>
    <xf numFmtId="1" fontId="49" fillId="10" borderId="23" xfId="8" applyNumberFormat="1" applyFont="1" applyFill="1" applyBorder="1" applyAlignment="1">
      <alignment horizontal="center" vertical="center"/>
    </xf>
    <xf numFmtId="1" fontId="36" fillId="10" borderId="26" xfId="8" applyNumberFormat="1" applyFont="1" applyFill="1" applyBorder="1" applyAlignment="1">
      <alignment horizontal="center" vertical="center"/>
    </xf>
    <xf numFmtId="1" fontId="49" fillId="10" borderId="27" xfId="8" applyNumberFormat="1" applyFont="1" applyFill="1" applyBorder="1" applyAlignment="1">
      <alignment horizontal="center" vertical="center"/>
    </xf>
    <xf numFmtId="1" fontId="36" fillId="10" borderId="24" xfId="8" applyNumberFormat="1" applyFont="1" applyFill="1" applyBorder="1" applyAlignment="1">
      <alignment horizontal="center" vertical="center"/>
    </xf>
    <xf numFmtId="164" fontId="49" fillId="10" borderId="14" xfId="8" applyNumberFormat="1" applyFont="1" applyFill="1" applyBorder="1" applyAlignment="1">
      <alignment horizontal="center" vertical="center"/>
    </xf>
    <xf numFmtId="1" fontId="49" fillId="10" borderId="25" xfId="8" applyNumberFormat="1" applyFont="1" applyFill="1" applyBorder="1" applyAlignment="1">
      <alignment horizontal="center" vertical="center"/>
    </xf>
    <xf numFmtId="164" fontId="30" fillId="4" borderId="5" xfId="8" applyNumberFormat="1" applyFont="1" applyFill="1" applyBorder="1" applyAlignment="1">
      <alignment horizontal="center" vertical="center"/>
    </xf>
    <xf numFmtId="164" fontId="55" fillId="4" borderId="51" xfId="8" applyNumberFormat="1" applyFont="1" applyFill="1" applyBorder="1" applyAlignment="1">
      <alignment horizontal="center" vertical="center"/>
    </xf>
    <xf numFmtId="164" fontId="55" fillId="4" borderId="37" xfId="8" applyNumberFormat="1" applyFont="1" applyFill="1" applyBorder="1" applyAlignment="1">
      <alignment horizontal="center" vertical="center"/>
    </xf>
    <xf numFmtId="164" fontId="30" fillId="4" borderId="6" xfId="8" applyNumberFormat="1" applyFont="1" applyFill="1" applyBorder="1" applyAlignment="1">
      <alignment horizontal="center" vertical="center"/>
    </xf>
    <xf numFmtId="164" fontId="55" fillId="4" borderId="54" xfId="8" applyNumberFormat="1" applyFont="1" applyFill="1" applyBorder="1" applyAlignment="1">
      <alignment horizontal="center" vertical="center"/>
    </xf>
    <xf numFmtId="164" fontId="31" fillId="23" borderId="56" xfId="8" applyNumberFormat="1" applyFont="1" applyFill="1" applyBorder="1" applyAlignment="1">
      <alignment horizontal="center" vertical="center"/>
    </xf>
    <xf numFmtId="164" fontId="31" fillId="17" borderId="6" xfId="8" applyNumberFormat="1" applyFont="1" applyFill="1" applyBorder="1" applyAlignment="1">
      <alignment horizontal="center" vertical="center"/>
    </xf>
    <xf numFmtId="164" fontId="30" fillId="4" borderId="7" xfId="8" applyNumberFormat="1" applyFont="1" applyFill="1" applyBorder="1" applyAlignment="1">
      <alignment horizontal="center" vertical="center"/>
    </xf>
    <xf numFmtId="164" fontId="30" fillId="4" borderId="10" xfId="8" applyNumberFormat="1" applyFont="1" applyFill="1" applyBorder="1" applyAlignment="1">
      <alignment horizontal="center" vertical="center"/>
    </xf>
    <xf numFmtId="164" fontId="30" fillId="4" borderId="33" xfId="8" applyNumberFormat="1" applyFont="1" applyFill="1" applyBorder="1" applyAlignment="1">
      <alignment horizontal="center" vertical="center"/>
    </xf>
    <xf numFmtId="0" fontId="49" fillId="15" borderId="42" xfId="8" applyFont="1" applyFill="1" applyBorder="1" applyAlignment="1">
      <alignment horizontal="center" vertical="center"/>
    </xf>
    <xf numFmtId="1" fontId="36" fillId="10" borderId="30" xfId="8" applyNumberFormat="1" applyFont="1" applyFill="1" applyBorder="1" applyAlignment="1">
      <alignment horizontal="center" vertical="center"/>
    </xf>
    <xf numFmtId="164" fontId="19" fillId="11" borderId="19" xfId="8" applyNumberFormat="1" applyFill="1" applyBorder="1" applyAlignment="1">
      <alignment horizontal="center" vertical="center"/>
    </xf>
    <xf numFmtId="164" fontId="19" fillId="11" borderId="17" xfId="8" applyNumberFormat="1" applyFont="1" applyFill="1" applyBorder="1" applyAlignment="1">
      <alignment horizontal="center" vertical="center"/>
    </xf>
    <xf numFmtId="164" fontId="19" fillId="11" borderId="18" xfId="8" applyNumberFormat="1" applyFont="1" applyFill="1" applyBorder="1" applyAlignment="1">
      <alignment horizontal="center" vertical="center"/>
    </xf>
    <xf numFmtId="164" fontId="19" fillId="11" borderId="19" xfId="8" applyNumberFormat="1" applyFont="1" applyFill="1" applyBorder="1" applyAlignment="1">
      <alignment horizontal="center" vertical="center"/>
    </xf>
    <xf numFmtId="164" fontId="19" fillId="11" borderId="17" xfId="8" applyNumberFormat="1" applyFill="1" applyBorder="1" applyAlignment="1">
      <alignment horizontal="center" vertical="center"/>
    </xf>
    <xf numFmtId="164" fontId="19" fillId="11" borderId="18" xfId="8" applyNumberFormat="1" applyFill="1" applyBorder="1" applyAlignment="1">
      <alignment horizontal="center" vertical="center"/>
    </xf>
    <xf numFmtId="164" fontId="19" fillId="4" borderId="11" xfId="8" applyNumberFormat="1" applyFill="1" applyBorder="1" applyAlignment="1">
      <alignment horizontal="center" vertical="center"/>
    </xf>
    <xf numFmtId="164" fontId="43" fillId="10" borderId="33" xfId="8" applyNumberFormat="1" applyFont="1" applyFill="1" applyBorder="1" applyAlignment="1">
      <alignment horizontal="center" vertical="center"/>
    </xf>
    <xf numFmtId="164" fontId="30" fillId="4" borderId="42" xfId="8" applyNumberFormat="1" applyFont="1" applyFill="1" applyBorder="1" applyAlignment="1">
      <alignment horizontal="center" vertical="center"/>
    </xf>
    <xf numFmtId="164" fontId="19" fillId="15" borderId="11" xfId="8" applyNumberFormat="1" applyFont="1" applyFill="1" applyBorder="1"/>
    <xf numFmtId="0" fontId="14" fillId="15" borderId="11" xfId="8" applyFont="1" applyFill="1" applyBorder="1" applyAlignment="1">
      <alignment horizontal="center"/>
    </xf>
    <xf numFmtId="0" fontId="30" fillId="14" borderId="11" xfId="8" applyFont="1" applyFill="1" applyBorder="1" applyAlignment="1">
      <alignment vertical="center"/>
    </xf>
    <xf numFmtId="164" fontId="31" fillId="14" borderId="11" xfId="8" applyNumberFormat="1" applyFont="1" applyFill="1" applyBorder="1" applyAlignment="1">
      <alignment horizontal="center" vertical="center"/>
    </xf>
    <xf numFmtId="164" fontId="19" fillId="14" borderId="11" xfId="8" applyNumberFormat="1" applyFont="1" applyFill="1" applyBorder="1" applyAlignment="1">
      <alignment horizontal="center" vertical="center"/>
    </xf>
    <xf numFmtId="0" fontId="30" fillId="14" borderId="11" xfId="8" quotePrefix="1" applyFont="1" applyFill="1" applyBorder="1" applyAlignment="1">
      <alignment vertical="center"/>
    </xf>
    <xf numFmtId="164" fontId="30" fillId="14" borderId="11" xfId="8" applyNumberFormat="1" applyFont="1" applyFill="1" applyBorder="1" applyAlignment="1">
      <alignment vertical="center"/>
    </xf>
    <xf numFmtId="164" fontId="41" fillId="14" borderId="11" xfId="8" applyNumberFormat="1" applyFont="1" applyFill="1" applyBorder="1" applyAlignment="1">
      <alignment vertical="center"/>
    </xf>
    <xf numFmtId="164" fontId="19" fillId="11" borderId="12" xfId="8" applyNumberFormat="1" applyFill="1" applyBorder="1" applyAlignment="1">
      <alignment horizontal="center" vertical="center"/>
    </xf>
    <xf numFmtId="164" fontId="30" fillId="17" borderId="64" xfId="8" applyNumberFormat="1" applyFont="1" applyFill="1" applyBorder="1" applyAlignment="1">
      <alignment horizontal="center" vertical="center"/>
    </xf>
    <xf numFmtId="164" fontId="30" fillId="17" borderId="39" xfId="8" applyNumberFormat="1" applyFont="1" applyFill="1" applyBorder="1" applyAlignment="1">
      <alignment horizontal="center" vertical="center"/>
    </xf>
    <xf numFmtId="0" fontId="25" fillId="3" borderId="18" xfId="8" applyFont="1" applyFill="1" applyBorder="1" applyAlignment="1">
      <alignment vertical="center"/>
    </xf>
    <xf numFmtId="164" fontId="50" fillId="3" borderId="18" xfId="8" applyNumberFormat="1" applyFont="1" applyFill="1" applyBorder="1" applyAlignment="1">
      <alignment horizontal="left" vertical="center"/>
    </xf>
    <xf numFmtId="164" fontId="19" fillId="14" borderId="11" xfId="8" applyNumberFormat="1" applyFill="1" applyBorder="1"/>
    <xf numFmtId="164" fontId="19" fillId="14" borderId="11" xfId="8" applyNumberFormat="1" applyFont="1" applyFill="1" applyBorder="1"/>
    <xf numFmtId="164" fontId="52" fillId="2" borderId="7" xfId="8" applyNumberFormat="1" applyFont="1" applyFill="1" applyBorder="1" applyAlignment="1">
      <alignment horizontal="center" vertical="center"/>
    </xf>
    <xf numFmtId="164" fontId="52" fillId="2" borderId="10" xfId="8" applyNumberFormat="1" applyFont="1" applyFill="1" applyBorder="1" applyAlignment="1">
      <alignment horizontal="center" vertical="center"/>
    </xf>
    <xf numFmtId="164" fontId="52" fillId="2" borderId="33" xfId="8" applyNumberFormat="1" applyFont="1" applyFill="1" applyBorder="1" applyAlignment="1">
      <alignment horizontal="center" vertical="center"/>
    </xf>
    <xf numFmtId="0" fontId="25" fillId="5" borderId="27" xfId="8" applyFont="1" applyFill="1" applyBorder="1" applyAlignment="1">
      <alignment vertical="center"/>
    </xf>
    <xf numFmtId="0" fontId="25" fillId="19" borderId="27" xfId="8" applyFont="1" applyFill="1" applyBorder="1" applyAlignment="1">
      <alignment vertical="center"/>
    </xf>
    <xf numFmtId="164" fontId="54" fillId="19" borderId="23" xfId="8" applyNumberFormat="1" applyFont="1" applyFill="1" applyBorder="1" applyAlignment="1">
      <alignment horizontal="left" vertical="center"/>
    </xf>
    <xf numFmtId="164" fontId="54" fillId="19" borderId="27" xfId="8" applyNumberFormat="1" applyFont="1" applyFill="1" applyBorder="1" applyAlignment="1">
      <alignment horizontal="left" vertical="center"/>
    </xf>
    <xf numFmtId="164" fontId="25" fillId="19" borderId="27" xfId="8" applyNumberFormat="1" applyFont="1" applyFill="1" applyBorder="1" applyAlignment="1">
      <alignment horizontal="left" vertical="center"/>
    </xf>
    <xf numFmtId="0" fontId="25" fillId="3" borderId="27" xfId="8" applyFont="1" applyFill="1" applyBorder="1" applyAlignment="1">
      <alignment horizontal="left" vertical="center"/>
    </xf>
    <xf numFmtId="0" fontId="25" fillId="3" borderId="27" xfId="8" applyFont="1" applyFill="1" applyBorder="1" applyAlignment="1">
      <alignment vertical="center"/>
    </xf>
    <xf numFmtId="165" fontId="52" fillId="2" borderId="18" xfId="8" applyNumberFormat="1" applyFont="1" applyFill="1" applyBorder="1" applyAlignment="1">
      <alignment horizontal="center" vertical="center"/>
    </xf>
    <xf numFmtId="165" fontId="52" fillId="2" borderId="37" xfId="8" applyNumberFormat="1" applyFont="1" applyFill="1" applyBorder="1" applyAlignment="1">
      <alignment horizontal="center" vertical="center"/>
    </xf>
    <xf numFmtId="165" fontId="52" fillId="2" borderId="68" xfId="8" applyNumberFormat="1" applyFont="1" applyFill="1" applyBorder="1" applyAlignment="1">
      <alignment horizontal="center" vertical="center"/>
    </xf>
    <xf numFmtId="165" fontId="52" fillId="2" borderId="45" xfId="8" applyNumberFormat="1" applyFont="1" applyFill="1" applyBorder="1" applyAlignment="1">
      <alignment horizontal="center" vertical="center"/>
    </xf>
    <xf numFmtId="16" fontId="19" fillId="4" borderId="11" xfId="8" applyNumberFormat="1" applyFill="1" applyBorder="1" applyAlignment="1">
      <alignment horizontal="center" vertical="center"/>
    </xf>
    <xf numFmtId="2" fontId="35" fillId="16" borderId="11" xfId="8" applyNumberFormat="1" applyFont="1" applyFill="1" applyBorder="1" applyAlignment="1">
      <alignment horizontal="center" vertical="center"/>
    </xf>
    <xf numFmtId="2" fontId="35" fillId="14" borderId="11" xfId="8" applyNumberFormat="1" applyFont="1" applyFill="1" applyAlignment="1">
      <alignment horizontal="center" vertical="center"/>
    </xf>
    <xf numFmtId="2" fontId="30" fillId="14" borderId="11" xfId="8" applyNumberFormat="1" applyFont="1" applyFill="1" applyBorder="1" applyAlignment="1">
      <alignment horizontal="center" vertical="center"/>
    </xf>
    <xf numFmtId="2" fontId="35" fillId="16" borderId="17" xfId="8" applyNumberFormat="1" applyFont="1" applyFill="1" applyBorder="1" applyAlignment="1">
      <alignment horizontal="center" vertical="center"/>
    </xf>
    <xf numFmtId="2" fontId="35" fillId="16" borderId="18" xfId="8" applyNumberFormat="1" applyFont="1" applyFill="1" applyBorder="1" applyAlignment="1">
      <alignment horizontal="center" vertical="center"/>
    </xf>
    <xf numFmtId="2" fontId="35" fillId="16" borderId="19" xfId="8" applyNumberFormat="1" applyFont="1" applyFill="1" applyBorder="1" applyAlignment="1">
      <alignment horizontal="center" vertical="center"/>
    </xf>
    <xf numFmtId="2" fontId="35" fillId="16" borderId="16" xfId="8" applyNumberFormat="1" applyFont="1" applyFill="1" applyBorder="1" applyAlignment="1">
      <alignment horizontal="center" vertical="center"/>
    </xf>
    <xf numFmtId="2" fontId="35" fillId="16" borderId="14" xfId="8" applyNumberFormat="1" applyFont="1" applyFill="1" applyBorder="1" applyAlignment="1">
      <alignment horizontal="center" vertical="center"/>
    </xf>
    <xf numFmtId="0" fontId="60" fillId="10" borderId="11" xfId="8" applyFont="1" applyFill="1" applyBorder="1" applyAlignment="1">
      <alignment horizontal="center" vertical="center"/>
    </xf>
    <xf numFmtId="0" fontId="60" fillId="10" borderId="14" xfId="8" applyFont="1" applyFill="1" applyBorder="1" applyAlignment="1">
      <alignment horizontal="center" vertical="center"/>
    </xf>
    <xf numFmtId="2" fontId="50" fillId="7" borderId="23" xfId="8" applyNumberFormat="1" applyFont="1" applyFill="1" applyBorder="1" applyAlignment="1">
      <alignment horizontal="center" vertical="center"/>
    </xf>
    <xf numFmtId="2" fontId="50" fillId="7" borderId="27" xfId="8" applyNumberFormat="1" applyFont="1" applyFill="1" applyBorder="1" applyAlignment="1">
      <alignment horizontal="center" vertical="center"/>
    </xf>
    <xf numFmtId="2" fontId="50" fillId="7" borderId="25" xfId="8" applyNumberFormat="1" applyFont="1" applyFill="1" applyBorder="1" applyAlignment="1">
      <alignment horizontal="center" vertical="center"/>
    </xf>
    <xf numFmtId="0" fontId="58" fillId="14" borderId="11" xfId="8" applyFont="1" applyFill="1" applyBorder="1" applyAlignment="1">
      <alignment horizontal="center" vertical="center"/>
    </xf>
    <xf numFmtId="0" fontId="61" fillId="10" borderId="11" xfId="8" applyFont="1" applyFill="1" applyBorder="1" applyAlignment="1">
      <alignment horizontal="center" vertical="center"/>
    </xf>
    <xf numFmtId="0" fontId="61" fillId="10" borderId="14" xfId="8" applyFont="1" applyFill="1" applyBorder="1" applyAlignment="1">
      <alignment horizontal="center" vertical="center"/>
    </xf>
    <xf numFmtId="2" fontId="50" fillId="7" borderId="18" xfId="8" applyNumberFormat="1" applyFont="1" applyFill="1" applyBorder="1" applyAlignment="1">
      <alignment horizontal="center" vertical="center"/>
    </xf>
    <xf numFmtId="0" fontId="12" fillId="4" borderId="11" xfId="8" applyFont="1" applyFill="1" applyBorder="1" applyAlignment="1">
      <alignment horizontal="left" vertical="center"/>
    </xf>
    <xf numFmtId="164" fontId="52" fillId="2" borderId="30" xfId="8" applyNumberFormat="1" applyFont="1" applyFill="1" applyBorder="1" applyAlignment="1">
      <alignment horizontal="center" vertical="center"/>
    </xf>
    <xf numFmtId="165" fontId="52" fillId="2" borderId="19" xfId="8" applyNumberFormat="1" applyFont="1" applyFill="1" applyBorder="1" applyAlignment="1">
      <alignment horizontal="center" vertical="center"/>
    </xf>
    <xf numFmtId="0" fontId="25" fillId="19" borderId="25" xfId="8" applyFont="1" applyFill="1" applyBorder="1" applyAlignment="1">
      <alignment vertical="center"/>
    </xf>
    <xf numFmtId="0" fontId="62" fillId="4" borderId="11" xfId="0" applyFont="1" applyFill="1" applyBorder="1" applyAlignment="1">
      <alignment vertical="center" wrapText="1"/>
    </xf>
    <xf numFmtId="165" fontId="62" fillId="4" borderId="11" xfId="0" applyNumberFormat="1" applyFont="1" applyFill="1" applyBorder="1" applyAlignment="1">
      <alignment horizontal="center" vertical="center" wrapText="1"/>
    </xf>
    <xf numFmtId="164" fontId="62" fillId="4" borderId="11" xfId="0" applyNumberFormat="1" applyFont="1" applyFill="1" applyBorder="1" applyAlignment="1">
      <alignment horizontal="center" vertical="center" wrapText="1"/>
    </xf>
    <xf numFmtId="2" fontId="50" fillId="7" borderId="16" xfId="8" applyNumberFormat="1" applyFont="1" applyFill="1" applyBorder="1" applyAlignment="1">
      <alignment horizontal="center" vertical="center"/>
    </xf>
    <xf numFmtId="2" fontId="50" fillId="7" borderId="11" xfId="8" applyNumberFormat="1" applyFont="1" applyFill="1" applyBorder="1" applyAlignment="1">
      <alignment horizontal="center" vertical="center"/>
    </xf>
    <xf numFmtId="2" fontId="50" fillId="7" borderId="14" xfId="8" applyNumberFormat="1" applyFont="1" applyFill="1" applyBorder="1" applyAlignment="1">
      <alignment horizontal="center" vertical="center"/>
    </xf>
    <xf numFmtId="164" fontId="30" fillId="4" borderId="8" xfId="8" applyNumberFormat="1" applyFont="1" applyFill="1" applyBorder="1" applyAlignment="1">
      <alignment horizontal="center" vertical="center"/>
    </xf>
    <xf numFmtId="164" fontId="30" fillId="4" borderId="1" xfId="8" applyNumberFormat="1" applyFont="1" applyFill="1" applyBorder="1" applyAlignment="1">
      <alignment horizontal="center" vertical="center"/>
    </xf>
    <xf numFmtId="164" fontId="30" fillId="4" borderId="34" xfId="8" applyNumberFormat="1" applyFont="1" applyFill="1" applyBorder="1" applyAlignment="1">
      <alignment horizontal="center" vertical="center"/>
    </xf>
    <xf numFmtId="2" fontId="50" fillId="7" borderId="17" xfId="8" applyNumberFormat="1" applyFont="1" applyFill="1" applyBorder="1" applyAlignment="1">
      <alignment horizontal="center" vertical="center"/>
    </xf>
    <xf numFmtId="2" fontId="50" fillId="7" borderId="19" xfId="8" applyNumberFormat="1" applyFont="1" applyFill="1" applyBorder="1" applyAlignment="1">
      <alignment horizontal="center" vertical="center"/>
    </xf>
    <xf numFmtId="164" fontId="30" fillId="10" borderId="36" xfId="8" applyNumberFormat="1" applyFont="1" applyFill="1" applyBorder="1" applyAlignment="1">
      <alignment horizontal="center" vertical="center"/>
    </xf>
    <xf numFmtId="164" fontId="30" fillId="10" borderId="55" xfId="8" applyNumberFormat="1" applyFont="1" applyFill="1" applyBorder="1" applyAlignment="1">
      <alignment horizontal="center" vertical="center"/>
    </xf>
    <xf numFmtId="164" fontId="19" fillId="4" borderId="22" xfId="8" applyNumberFormat="1" applyFill="1" applyBorder="1" applyAlignment="1">
      <alignment horizontal="center" vertical="center"/>
    </xf>
    <xf numFmtId="164" fontId="19" fillId="4" borderId="24" xfId="8" applyNumberFormat="1" applyFill="1" applyBorder="1" applyAlignment="1">
      <alignment horizontal="center" vertical="center"/>
    </xf>
    <xf numFmtId="164" fontId="19" fillId="4" borderId="22" xfId="8" applyNumberFormat="1" applyFont="1" applyFill="1" applyBorder="1" applyAlignment="1">
      <alignment horizontal="center" vertical="center"/>
    </xf>
    <xf numFmtId="164" fontId="30" fillId="10" borderId="8" xfId="8" applyNumberFormat="1" applyFont="1" applyFill="1" applyBorder="1" applyAlignment="1">
      <alignment horizontal="center" vertical="center"/>
    </xf>
    <xf numFmtId="164" fontId="30" fillId="10" borderId="34" xfId="8" applyNumberFormat="1" applyFont="1" applyFill="1" applyBorder="1" applyAlignment="1">
      <alignment horizontal="center" vertical="center"/>
    </xf>
    <xf numFmtId="164" fontId="19" fillId="4" borderId="26" xfId="8" applyNumberFormat="1" applyFill="1" applyBorder="1" applyAlignment="1">
      <alignment horizontal="center" vertical="center"/>
    </xf>
    <xf numFmtId="164" fontId="19" fillId="4" borderId="17" xfId="8" applyNumberFormat="1" applyFont="1" applyFill="1" applyBorder="1" applyAlignment="1">
      <alignment horizontal="center" vertical="center"/>
    </xf>
    <xf numFmtId="164" fontId="25" fillId="5" borderId="25" xfId="8" applyNumberFormat="1" applyFont="1" applyFill="1" applyBorder="1" applyAlignment="1">
      <alignment horizontal="left" vertical="center"/>
    </xf>
    <xf numFmtId="164" fontId="19" fillId="15" borderId="11" xfId="8" applyNumberFormat="1" applyFont="1" applyFill="1" applyBorder="1" applyAlignment="1">
      <alignment horizontal="center"/>
    </xf>
    <xf numFmtId="165" fontId="52" fillId="2" borderId="51" xfId="8" applyNumberFormat="1" applyFont="1" applyFill="1" applyBorder="1" applyAlignment="1">
      <alignment horizontal="center" vertical="center"/>
    </xf>
    <xf numFmtId="164" fontId="19" fillId="4" borderId="22" xfId="8" applyNumberFormat="1" applyFont="1" applyFill="1" applyBorder="1" applyAlignment="1">
      <alignment horizontal="center" vertical="center"/>
    </xf>
    <xf numFmtId="0" fontId="30" fillId="10" borderId="49" xfId="8" applyFont="1" applyFill="1" applyBorder="1" applyAlignment="1">
      <alignment horizontal="center" vertical="center"/>
    </xf>
    <xf numFmtId="0" fontId="30" fillId="10" borderId="62" xfId="8" applyFont="1" applyFill="1" applyBorder="1" applyAlignment="1">
      <alignment horizontal="center" vertical="center"/>
    </xf>
    <xf numFmtId="0" fontId="30" fillId="10" borderId="71" xfId="8" applyFont="1" applyFill="1" applyBorder="1" applyAlignment="1">
      <alignment horizontal="center"/>
    </xf>
    <xf numFmtId="0" fontId="19" fillId="4" borderId="27" xfId="8" applyFill="1" applyBorder="1" applyAlignment="1">
      <alignment horizontal="center" vertical="center"/>
    </xf>
    <xf numFmtId="0" fontId="19" fillId="4" borderId="27" xfId="8" applyFont="1" applyFill="1" applyBorder="1" applyAlignment="1">
      <alignment horizontal="center"/>
    </xf>
    <xf numFmtId="0" fontId="19" fillId="4" borderId="25" xfId="8" applyFill="1" applyBorder="1" applyAlignment="1">
      <alignment horizontal="center" vertical="center"/>
    </xf>
    <xf numFmtId="0" fontId="19" fillId="4" borderId="25" xfId="8" applyFont="1" applyFill="1" applyBorder="1" applyAlignment="1">
      <alignment horizontal="center"/>
    </xf>
    <xf numFmtId="164" fontId="30" fillId="4" borderId="9" xfId="8" applyNumberFormat="1" applyFont="1" applyFill="1" applyBorder="1" applyAlignment="1">
      <alignment horizontal="center" vertical="center"/>
    </xf>
    <xf numFmtId="164" fontId="30" fillId="4" borderId="11" xfId="8" applyNumberFormat="1" applyFont="1" applyFill="1" applyBorder="1" applyAlignment="1">
      <alignment horizontal="center" vertical="center"/>
    </xf>
    <xf numFmtId="164" fontId="30" fillId="4" borderId="4" xfId="8" applyNumberFormat="1" applyFont="1" applyFill="1" applyBorder="1" applyAlignment="1">
      <alignment horizontal="center" vertical="center"/>
    </xf>
    <xf numFmtId="164" fontId="30" fillId="4" borderId="30" xfId="8" applyNumberFormat="1" applyFont="1" applyFill="1" applyBorder="1" applyAlignment="1">
      <alignment horizontal="center" vertical="center"/>
    </xf>
    <xf numFmtId="164" fontId="30" fillId="4" borderId="21" xfId="8" applyNumberFormat="1" applyFont="1" applyFill="1" applyBorder="1" applyAlignment="1">
      <alignment horizontal="center" vertical="center"/>
    </xf>
    <xf numFmtId="1" fontId="56" fillId="7" borderId="17" xfId="8" applyNumberFormat="1" applyFont="1" applyFill="1" applyBorder="1" applyAlignment="1">
      <alignment horizontal="center" vertical="center"/>
    </xf>
    <xf numFmtId="1" fontId="56" fillId="7" borderId="18" xfId="8" applyNumberFormat="1" applyFont="1" applyFill="1" applyBorder="1" applyAlignment="1">
      <alignment horizontal="center" vertical="center"/>
    </xf>
    <xf numFmtId="1" fontId="56" fillId="7" borderId="19" xfId="8" applyNumberFormat="1" applyFont="1" applyFill="1" applyBorder="1" applyAlignment="1">
      <alignment horizontal="center" vertical="center"/>
    </xf>
    <xf numFmtId="0" fontId="19" fillId="4" borderId="23" xfId="8" applyFill="1" applyBorder="1" applyAlignment="1">
      <alignment horizontal="center" vertical="center"/>
    </xf>
    <xf numFmtId="0" fontId="19" fillId="4" borderId="23" xfId="8" applyFont="1" applyFill="1" applyBorder="1" applyAlignment="1">
      <alignment horizontal="center"/>
    </xf>
    <xf numFmtId="165" fontId="9" fillId="4" borderId="22" xfId="8" applyNumberFormat="1" applyFont="1" applyFill="1" applyBorder="1" applyAlignment="1">
      <alignment horizontal="center" vertical="center"/>
    </xf>
    <xf numFmtId="165" fontId="9" fillId="4" borderId="26" xfId="8" applyNumberFormat="1" applyFont="1" applyFill="1" applyBorder="1" applyAlignment="1">
      <alignment horizontal="center" vertical="center"/>
    </xf>
    <xf numFmtId="165" fontId="9" fillId="4" borderId="24" xfId="8" applyNumberFormat="1" applyFont="1" applyFill="1" applyBorder="1" applyAlignment="1">
      <alignment horizontal="center" vertical="center"/>
    </xf>
    <xf numFmtId="1" fontId="56" fillId="7" borderId="11" xfId="8" applyNumberFormat="1" applyFont="1" applyFill="1" applyBorder="1" applyAlignment="1">
      <alignment horizontal="center" vertical="center"/>
    </xf>
    <xf numFmtId="1" fontId="56" fillId="7" borderId="14" xfId="8" applyNumberFormat="1" applyFont="1" applyFill="1" applyBorder="1" applyAlignment="1">
      <alignment horizontal="center" vertical="center"/>
    </xf>
    <xf numFmtId="1" fontId="56" fillId="7" borderId="16" xfId="8" applyNumberFormat="1" applyFont="1" applyFill="1" applyBorder="1" applyAlignment="1">
      <alignment horizontal="center" vertical="center"/>
    </xf>
    <xf numFmtId="0" fontId="38" fillId="10" borderId="22" xfId="8" applyFont="1" applyFill="1" applyBorder="1" applyAlignment="1">
      <alignment horizontal="center" vertical="center" wrapText="1"/>
    </xf>
    <xf numFmtId="0" fontId="38" fillId="10" borderId="31" xfId="8" applyFont="1" applyFill="1" applyBorder="1" applyAlignment="1">
      <alignment horizontal="center" vertical="center" wrapText="1"/>
    </xf>
    <xf numFmtId="0" fontId="31" fillId="15" borderId="17" xfId="8" applyFont="1" applyFill="1" applyBorder="1" applyAlignment="1">
      <alignment horizontal="center" vertical="center"/>
    </xf>
    <xf numFmtId="0" fontId="31" fillId="15" borderId="18" xfId="8" applyFont="1" applyFill="1" applyBorder="1" applyAlignment="1">
      <alignment horizontal="center" vertical="center"/>
    </xf>
    <xf numFmtId="0" fontId="31" fillId="15" borderId="19" xfId="8" applyFont="1" applyFill="1" applyBorder="1" applyAlignment="1">
      <alignment horizontal="center" vertical="center"/>
    </xf>
    <xf numFmtId="164" fontId="19" fillId="4" borderId="22" xfId="8" applyNumberFormat="1" applyFont="1" applyFill="1" applyBorder="1" applyAlignment="1">
      <alignment horizontal="center" vertical="center"/>
    </xf>
    <xf numFmtId="165" fontId="52" fillId="2" borderId="54" xfId="8" applyNumberFormat="1" applyFont="1" applyFill="1" applyBorder="1" applyAlignment="1">
      <alignment horizontal="center" vertical="center"/>
    </xf>
    <xf numFmtId="0" fontId="30" fillId="10" borderId="62" xfId="8" applyFont="1" applyFill="1" applyBorder="1" applyAlignment="1">
      <alignment horizontal="center"/>
    </xf>
    <xf numFmtId="0" fontId="16" fillId="7" borderId="18" xfId="8" applyFont="1" applyFill="1" applyBorder="1" applyAlignment="1">
      <alignment horizontal="left" vertical="center"/>
    </xf>
    <xf numFmtId="164" fontId="19" fillId="7" borderId="26" xfId="8" applyNumberFormat="1" applyFill="1" applyBorder="1" applyAlignment="1">
      <alignment horizontal="center" vertical="center"/>
    </xf>
    <xf numFmtId="164" fontId="19" fillId="7" borderId="18" xfId="8" applyNumberFormat="1" applyFill="1" applyBorder="1" applyAlignment="1">
      <alignment horizontal="center" vertical="center"/>
    </xf>
    <xf numFmtId="164" fontId="19" fillId="4" borderId="17" xfId="8" applyNumberFormat="1" applyFont="1" applyFill="1" applyBorder="1" applyAlignment="1">
      <alignment horizontal="center" vertical="center"/>
    </xf>
    <xf numFmtId="164" fontId="19" fillId="4" borderId="17" xfId="8" applyNumberFormat="1" applyFont="1" applyFill="1" applyBorder="1" applyAlignment="1">
      <alignment horizontal="center" vertical="center"/>
    </xf>
    <xf numFmtId="164" fontId="19" fillId="4" borderId="26" xfId="8" applyNumberFormat="1" applyFont="1" applyFill="1" applyBorder="1" applyAlignment="1">
      <alignment horizontal="left" vertical="top"/>
    </xf>
    <xf numFmtId="164" fontId="19" fillId="4" borderId="24" xfId="8" applyNumberFormat="1" applyFont="1" applyFill="1" applyBorder="1" applyAlignment="1">
      <alignment horizontal="left" vertical="top"/>
    </xf>
    <xf numFmtId="164" fontId="31" fillId="17" borderId="5" xfId="8" applyNumberFormat="1" applyFont="1" applyFill="1" applyBorder="1" applyAlignment="1">
      <alignment horizontal="center" vertical="center"/>
    </xf>
    <xf numFmtId="164" fontId="31" fillId="17" borderId="51" xfId="8" applyNumberFormat="1" applyFont="1" applyFill="1" applyBorder="1" applyAlignment="1">
      <alignment horizontal="center" vertical="center"/>
    </xf>
    <xf numFmtId="0" fontId="8" fillId="14" borderId="11" xfId="8" applyFont="1" applyFill="1" applyBorder="1"/>
    <xf numFmtId="0" fontId="37" fillId="4" borderId="17" xfId="8" applyFont="1" applyFill="1" applyBorder="1" applyAlignment="1">
      <alignment horizontal="center" vertical="center"/>
    </xf>
    <xf numFmtId="0" fontId="37" fillId="4" borderId="18" xfId="8" applyFont="1" applyFill="1" applyBorder="1" applyAlignment="1">
      <alignment horizontal="center" vertical="center"/>
    </xf>
    <xf numFmtId="0" fontId="37" fillId="4" borderId="19" xfId="8" applyFont="1" applyFill="1" applyBorder="1" applyAlignment="1">
      <alignment horizontal="center" vertical="center"/>
    </xf>
    <xf numFmtId="164" fontId="19" fillId="4" borderId="11" xfId="8" applyNumberFormat="1" applyFont="1" applyFill="1" applyBorder="1" applyAlignment="1">
      <alignment horizontal="left" vertical="top"/>
    </xf>
    <xf numFmtId="164" fontId="19" fillId="4" borderId="14" xfId="8" applyNumberFormat="1" applyFont="1" applyFill="1" applyBorder="1" applyAlignment="1">
      <alignment horizontal="left" vertical="top"/>
    </xf>
    <xf numFmtId="164" fontId="31" fillId="17" borderId="72" xfId="8" applyNumberFormat="1" applyFont="1" applyFill="1" applyBorder="1" applyAlignment="1">
      <alignment horizontal="center" vertical="center"/>
    </xf>
    <xf numFmtId="164" fontId="31" fillId="17" borderId="67" xfId="8" applyNumberFormat="1" applyFont="1" applyFill="1" applyBorder="1" applyAlignment="1">
      <alignment horizontal="center" vertical="center"/>
    </xf>
    <xf numFmtId="0" fontId="63" fillId="4" borderId="11" xfId="0" applyFont="1" applyFill="1" applyBorder="1" applyAlignment="1">
      <alignment vertical="center" wrapText="1"/>
    </xf>
    <xf numFmtId="164" fontId="25" fillId="3" borderId="27" xfId="8" applyNumberFormat="1" applyFont="1" applyFill="1" applyBorder="1" applyAlignment="1">
      <alignment horizontal="left" vertical="center"/>
    </xf>
    <xf numFmtId="164" fontId="19" fillId="9" borderId="26" xfId="8" applyNumberFormat="1" applyFont="1" applyFill="1" applyBorder="1" applyAlignment="1">
      <alignment horizontal="center" vertical="center"/>
    </xf>
    <xf numFmtId="0" fontId="19" fillId="9" borderId="27" xfId="8" applyFill="1" applyBorder="1" applyAlignment="1">
      <alignment horizontal="center" vertical="center"/>
    </xf>
    <xf numFmtId="165" fontId="9" fillId="9" borderId="26" xfId="8" applyNumberFormat="1" applyFont="1" applyFill="1" applyBorder="1" applyAlignment="1">
      <alignment horizontal="center" vertical="center"/>
    </xf>
    <xf numFmtId="0" fontId="19" fillId="9" borderId="27" xfId="8" applyFont="1" applyFill="1" applyBorder="1" applyAlignment="1">
      <alignment horizontal="center"/>
    </xf>
    <xf numFmtId="164" fontId="19" fillId="9" borderId="26" xfId="8" applyNumberFormat="1" applyFont="1" applyFill="1" applyBorder="1" applyAlignment="1">
      <alignment horizontal="left" vertical="top"/>
    </xf>
    <xf numFmtId="164" fontId="19" fillId="9" borderId="11" xfId="8" applyNumberFormat="1" applyFont="1" applyFill="1" applyBorder="1" applyAlignment="1">
      <alignment horizontal="left" vertical="top"/>
    </xf>
    <xf numFmtId="0" fontId="37" fillId="9" borderId="18" xfId="8" applyFont="1" applyFill="1" applyBorder="1" applyAlignment="1">
      <alignment horizontal="center" vertical="center"/>
    </xf>
    <xf numFmtId="0" fontId="25" fillId="27" borderId="27" xfId="8" applyFont="1" applyFill="1" applyBorder="1" applyAlignment="1">
      <alignment vertical="center"/>
    </xf>
    <xf numFmtId="0" fontId="59" fillId="28" borderId="27" xfId="8" applyFont="1" applyFill="1" applyBorder="1" applyAlignment="1">
      <alignment vertical="center"/>
    </xf>
    <xf numFmtId="164" fontId="19" fillId="15" borderId="11" xfId="8" applyNumberFormat="1" applyFill="1" applyBorder="1" applyAlignment="1">
      <alignment horizontal="center"/>
    </xf>
    <xf numFmtId="0" fontId="7" fillId="4" borderId="11" xfId="8" applyFont="1" applyFill="1" applyBorder="1" applyAlignment="1">
      <alignment horizontal="left" vertical="center"/>
    </xf>
    <xf numFmtId="0" fontId="19" fillId="13" borderId="11" xfId="8" applyFill="1" applyBorder="1" applyAlignment="1">
      <alignment horizontal="center" vertical="center"/>
    </xf>
    <xf numFmtId="0" fontId="19" fillId="13" borderId="11" xfId="8" applyFill="1" applyBorder="1" applyAlignment="1">
      <alignment horizontal="left" vertical="center"/>
    </xf>
    <xf numFmtId="164" fontId="19" fillId="13" borderId="11" xfId="8" applyNumberFormat="1" applyFill="1" applyBorder="1" applyAlignment="1">
      <alignment horizontal="center" vertical="center"/>
    </xf>
    <xf numFmtId="164" fontId="25" fillId="5" borderId="18" xfId="8" applyNumberFormat="1" applyFont="1" applyFill="1" applyBorder="1" applyAlignment="1">
      <alignment horizontal="left" vertical="center"/>
    </xf>
    <xf numFmtId="164" fontId="25" fillId="5" borderId="50" xfId="8" applyNumberFormat="1" applyFont="1" applyFill="1" applyBorder="1" applyAlignment="1">
      <alignment horizontal="left" vertical="center"/>
    </xf>
    <xf numFmtId="0" fontId="6" fillId="4" borderId="11" xfId="8" applyFont="1" applyFill="1" applyBorder="1" applyAlignment="1">
      <alignment horizontal="left" vertical="center"/>
    </xf>
    <xf numFmtId="0" fontId="0" fillId="14" borderId="0" xfId="0" applyFill="1"/>
    <xf numFmtId="164" fontId="30" fillId="10" borderId="42" xfId="8" applyNumberFormat="1" applyFont="1" applyFill="1" applyBorder="1" applyAlignment="1">
      <alignment horizontal="center" vertical="center"/>
    </xf>
    <xf numFmtId="0" fontId="28" fillId="14" borderId="11" xfId="8" applyFont="1" applyFill="1" applyBorder="1" applyAlignment="1">
      <alignment vertical="center"/>
    </xf>
    <xf numFmtId="0" fontId="0" fillId="14" borderId="0" xfId="0" applyFill="1" applyAlignment="1">
      <alignment horizontal="center" vertical="center"/>
    </xf>
    <xf numFmtId="164" fontId="0" fillId="14" borderId="0" xfId="0" applyNumberFormat="1" applyFill="1"/>
    <xf numFmtId="165" fontId="63" fillId="4" borderId="11" xfId="0" applyNumberFormat="1" applyFont="1" applyFill="1" applyBorder="1" applyAlignment="1">
      <alignment horizontal="center" vertical="center" wrapText="1"/>
    </xf>
    <xf numFmtId="0" fontId="63" fillId="4" borderId="11" xfId="0" applyFont="1" applyFill="1" applyBorder="1" applyAlignment="1">
      <alignment horizontal="left" vertical="center" wrapText="1"/>
    </xf>
    <xf numFmtId="164" fontId="63" fillId="4" borderId="11" xfId="0" applyNumberFormat="1" applyFont="1" applyFill="1" applyBorder="1" applyAlignment="1">
      <alignment horizontal="center" vertical="center" wrapText="1"/>
    </xf>
    <xf numFmtId="164" fontId="30" fillId="10" borderId="48" xfId="8" applyNumberFormat="1" applyFont="1" applyFill="1" applyBorder="1" applyAlignment="1">
      <alignment horizontal="center" vertical="center"/>
    </xf>
    <xf numFmtId="164" fontId="30" fillId="10" borderId="52" xfId="8" applyNumberFormat="1" applyFont="1" applyFill="1" applyBorder="1" applyAlignment="1">
      <alignment horizontal="center" vertical="center"/>
    </xf>
    <xf numFmtId="164" fontId="30" fillId="10" borderId="43" xfId="8" applyNumberFormat="1" applyFont="1" applyFill="1" applyBorder="1" applyAlignment="1">
      <alignment horizontal="center" vertical="center"/>
    </xf>
    <xf numFmtId="2" fontId="35" fillId="16" borderId="44" xfId="8" applyNumberFormat="1" applyFont="1" applyFill="1" applyBorder="1" applyAlignment="1">
      <alignment horizontal="center" vertical="center"/>
    </xf>
    <xf numFmtId="2" fontId="35" fillId="16" borderId="43" xfId="8" applyNumberFormat="1" applyFont="1" applyFill="1" applyBorder="1" applyAlignment="1">
      <alignment horizontal="center" vertical="center"/>
    </xf>
    <xf numFmtId="2" fontId="35" fillId="16" borderId="42" xfId="8" applyNumberFormat="1" applyFont="1" applyFill="1" applyBorder="1" applyAlignment="1">
      <alignment horizontal="center" vertical="center"/>
    </xf>
    <xf numFmtId="2" fontId="50" fillId="7" borderId="22" xfId="8" applyNumberFormat="1" applyFont="1" applyFill="1" applyBorder="1" applyAlignment="1">
      <alignment horizontal="center" vertical="center"/>
    </xf>
    <xf numFmtId="2" fontId="50" fillId="7" borderId="24" xfId="8" applyNumberFormat="1" applyFont="1" applyFill="1" applyBorder="1" applyAlignment="1">
      <alignment horizontal="center" vertical="center"/>
    </xf>
    <xf numFmtId="164" fontId="19" fillId="14" borderId="11" xfId="8" applyNumberFormat="1" applyFill="1" applyBorder="1" applyAlignment="1">
      <alignment horizontal="center"/>
    </xf>
    <xf numFmtId="0" fontId="48" fillId="7" borderId="22" xfId="0" applyFont="1" applyFill="1" applyBorder="1" applyAlignment="1">
      <alignment vertical="center"/>
    </xf>
    <xf numFmtId="0" fontId="48" fillId="7" borderId="16" xfId="0" applyFont="1" applyFill="1" applyBorder="1" applyAlignment="1">
      <alignment vertical="center"/>
    </xf>
    <xf numFmtId="0" fontId="48" fillId="7" borderId="23" xfId="0" applyFont="1" applyFill="1" applyBorder="1" applyAlignment="1">
      <alignment vertical="center"/>
    </xf>
    <xf numFmtId="0" fontId="48" fillId="7" borderId="26" xfId="0" applyFont="1" applyFill="1" applyBorder="1" applyAlignment="1">
      <alignment vertical="center"/>
    </xf>
    <xf numFmtId="0" fontId="48" fillId="7" borderId="11" xfId="0" applyFont="1" applyFill="1" applyBorder="1" applyAlignment="1">
      <alignment vertical="center"/>
    </xf>
    <xf numFmtId="0" fontId="48" fillId="7" borderId="27" xfId="0" applyFont="1" applyFill="1" applyBorder="1" applyAlignment="1">
      <alignment vertical="center"/>
    </xf>
    <xf numFmtId="0" fontId="0" fillId="7" borderId="26" xfId="0" applyFill="1" applyBorder="1"/>
    <xf numFmtId="0" fontId="0" fillId="7" borderId="11" xfId="0" applyFill="1" applyBorder="1"/>
    <xf numFmtId="0" fontId="0" fillId="7" borderId="27" xfId="0" applyFill="1" applyBorder="1"/>
    <xf numFmtId="0" fontId="5" fillId="14" borderId="0" xfId="0" applyFont="1" applyFill="1"/>
    <xf numFmtId="164" fontId="31" fillId="10" borderId="3" xfId="8" applyNumberFormat="1" applyFont="1" applyFill="1" applyBorder="1" applyAlignment="1">
      <alignment horizontal="center" vertical="center"/>
    </xf>
    <xf numFmtId="0" fontId="4" fillId="14" borderId="0" xfId="0" applyFont="1" applyFill="1"/>
    <xf numFmtId="164" fontId="52" fillId="2" borderId="26" xfId="4" applyNumberFormat="1" applyFont="1" applyFill="1" applyBorder="1" applyAlignment="1">
      <alignment horizontal="center" vertical="center"/>
    </xf>
    <xf numFmtId="164" fontId="52" fillId="2" borderId="24" xfId="4" applyNumberFormat="1" applyFont="1" applyFill="1" applyBorder="1" applyAlignment="1">
      <alignment horizontal="center" vertical="center"/>
    </xf>
    <xf numFmtId="0" fontId="0" fillId="14" borderId="8" xfId="0" applyFill="1" applyBorder="1"/>
    <xf numFmtId="0" fontId="0" fillId="14" borderId="34" xfId="0" applyFill="1" applyBorder="1"/>
    <xf numFmtId="2" fontId="61" fillId="7" borderId="17" xfId="8" applyNumberFormat="1" applyFont="1" applyFill="1" applyBorder="1" applyAlignment="1">
      <alignment horizontal="center" vertical="center"/>
    </xf>
    <xf numFmtId="2" fontId="61" fillId="7" borderId="23" xfId="8" applyNumberFormat="1" applyFont="1" applyFill="1" applyBorder="1" applyAlignment="1">
      <alignment horizontal="center" vertical="center"/>
    </xf>
    <xf numFmtId="2" fontId="61" fillId="7" borderId="18" xfId="8" applyNumberFormat="1" applyFont="1" applyFill="1" applyBorder="1" applyAlignment="1">
      <alignment horizontal="center" vertical="center"/>
    </xf>
    <xf numFmtId="2" fontId="61" fillId="7" borderId="27" xfId="8" applyNumberFormat="1" applyFont="1" applyFill="1" applyBorder="1" applyAlignment="1">
      <alignment horizontal="center" vertical="center"/>
    </xf>
    <xf numFmtId="2" fontId="61" fillId="7" borderId="19" xfId="8" applyNumberFormat="1" applyFont="1" applyFill="1" applyBorder="1" applyAlignment="1">
      <alignment horizontal="center" vertical="center"/>
    </xf>
    <xf numFmtId="2" fontId="61" fillId="7" borderId="25" xfId="8" applyNumberFormat="1" applyFont="1" applyFill="1" applyBorder="1" applyAlignment="1">
      <alignment horizontal="center" vertical="center"/>
    </xf>
    <xf numFmtId="164" fontId="61" fillId="4" borderId="17" xfId="8" applyNumberFormat="1" applyFont="1" applyFill="1" applyBorder="1" applyAlignment="1">
      <alignment horizontal="center" vertical="center"/>
    </xf>
    <xf numFmtId="164" fontId="61" fillId="4" borderId="18" xfId="8" applyNumberFormat="1" applyFont="1" applyFill="1" applyBorder="1" applyAlignment="1">
      <alignment horizontal="center" vertical="center"/>
    </xf>
    <xf numFmtId="164" fontId="61" fillId="4" borderId="19" xfId="8" applyNumberFormat="1" applyFont="1" applyFill="1" applyBorder="1" applyAlignment="1">
      <alignment horizontal="center" vertical="center"/>
    </xf>
    <xf numFmtId="164" fontId="66" fillId="4" borderId="31" xfId="8" applyNumberFormat="1" applyFont="1" applyFill="1" applyBorder="1" applyAlignment="1">
      <alignment horizontal="center" vertical="center"/>
    </xf>
    <xf numFmtId="164" fontId="37" fillId="4" borderId="18" xfId="8" applyNumberFormat="1" applyFont="1" applyFill="1" applyBorder="1" applyAlignment="1">
      <alignment horizontal="center" vertical="center"/>
    </xf>
    <xf numFmtId="164" fontId="66" fillId="4" borderId="37" xfId="8" applyNumberFormat="1" applyFont="1" applyFill="1" applyBorder="1" applyAlignment="1">
      <alignment horizontal="center" vertical="center"/>
    </xf>
    <xf numFmtId="164" fontId="66" fillId="4" borderId="54" xfId="8" applyNumberFormat="1" applyFont="1" applyFill="1" applyBorder="1" applyAlignment="1">
      <alignment horizontal="center" vertical="center"/>
    </xf>
    <xf numFmtId="164" fontId="66" fillId="4" borderId="36" xfId="8" applyNumberFormat="1" applyFont="1" applyFill="1" applyBorder="1" applyAlignment="1">
      <alignment horizontal="center" vertical="center"/>
    </xf>
    <xf numFmtId="164" fontId="66" fillId="4" borderId="51" xfId="8" applyNumberFormat="1" applyFont="1" applyFill="1" applyBorder="1" applyAlignment="1">
      <alignment horizontal="center" vertical="center"/>
    </xf>
    <xf numFmtId="164" fontId="37" fillId="4" borderId="19" xfId="8" applyNumberFormat="1" applyFont="1" applyFill="1" applyBorder="1" applyAlignment="1">
      <alignment horizontal="center" vertical="center"/>
    </xf>
    <xf numFmtId="164" fontId="37" fillId="4" borderId="24" xfId="8" applyNumberFormat="1" applyFont="1" applyFill="1" applyBorder="1" applyAlignment="1">
      <alignment horizontal="center" vertical="center"/>
    </xf>
    <xf numFmtId="164" fontId="37" fillId="4" borderId="14" xfId="8" applyNumberFormat="1" applyFont="1" applyFill="1" applyBorder="1" applyAlignment="1">
      <alignment horizontal="center" vertical="center"/>
    </xf>
    <xf numFmtId="164" fontId="65" fillId="4" borderId="25" xfId="8" applyNumberFormat="1" applyFont="1" applyFill="1" applyBorder="1" applyAlignment="1">
      <alignment horizontal="center" vertical="center"/>
    </xf>
    <xf numFmtId="164" fontId="66" fillId="4" borderId="19" xfId="8" applyNumberFormat="1" applyFont="1" applyFill="1" applyBorder="1" applyAlignment="1">
      <alignment horizontal="center" vertical="center"/>
    </xf>
    <xf numFmtId="164" fontId="66" fillId="4" borderId="16" xfId="8" applyNumberFormat="1" applyFont="1" applyFill="1" applyBorder="1" applyAlignment="1">
      <alignment horizontal="center" vertical="center"/>
    </xf>
    <xf numFmtId="164" fontId="66" fillId="4" borderId="75" xfId="8" applyNumberFormat="1" applyFont="1" applyFill="1" applyBorder="1" applyAlignment="1">
      <alignment horizontal="center" vertical="center"/>
    </xf>
    <xf numFmtId="164" fontId="66" fillId="4" borderId="32" xfId="8" applyNumberFormat="1" applyFont="1" applyFill="1" applyBorder="1" applyAlignment="1">
      <alignment horizontal="center" vertical="center"/>
    </xf>
    <xf numFmtId="164" fontId="66" fillId="4" borderId="55" xfId="8" applyNumberFormat="1" applyFont="1" applyFill="1" applyBorder="1" applyAlignment="1">
      <alignment horizontal="center" vertical="center"/>
    </xf>
    <xf numFmtId="164" fontId="66" fillId="4" borderId="41" xfId="8" applyNumberFormat="1" applyFont="1" applyFill="1" applyBorder="1" applyAlignment="1">
      <alignment horizontal="center" vertical="center"/>
    </xf>
    <xf numFmtId="164" fontId="66" fillId="4" borderId="47" xfId="8" applyNumberFormat="1" applyFont="1" applyFill="1" applyBorder="1" applyAlignment="1">
      <alignment horizontal="center" vertical="center"/>
    </xf>
    <xf numFmtId="164" fontId="66" fillId="4" borderId="53" xfId="8" applyNumberFormat="1" applyFont="1" applyFill="1" applyBorder="1" applyAlignment="1">
      <alignment horizontal="center" vertical="center"/>
    </xf>
    <xf numFmtId="164" fontId="66" fillId="4" borderId="40" xfId="8" applyNumberFormat="1" applyFont="1" applyFill="1" applyBorder="1" applyAlignment="1">
      <alignment horizontal="center" vertical="center"/>
    </xf>
    <xf numFmtId="0" fontId="28" fillId="14" borderId="11" xfId="8" applyFont="1" applyFill="1" applyBorder="1" applyAlignment="1">
      <alignment horizontal="center"/>
    </xf>
    <xf numFmtId="0" fontId="19" fillId="14" borderId="22" xfId="8" applyFill="1" applyBorder="1"/>
    <xf numFmtId="0" fontId="19" fillId="14" borderId="16" xfId="8" applyFill="1" applyBorder="1"/>
    <xf numFmtId="0" fontId="19" fillId="14" borderId="16" xfId="8" applyFill="1" applyBorder="1" applyAlignment="1">
      <alignment horizontal="center"/>
    </xf>
    <xf numFmtId="0" fontId="19" fillId="14" borderId="16" xfId="8" applyFill="1" applyBorder="1" applyAlignment="1">
      <alignment horizontal="center" vertical="center"/>
    </xf>
    <xf numFmtId="0" fontId="0" fillId="14" borderId="23" xfId="0" applyFill="1" applyBorder="1"/>
    <xf numFmtId="0" fontId="19" fillId="14" borderId="26" xfId="8" applyFill="1" applyBorder="1"/>
    <xf numFmtId="0" fontId="0" fillId="14" borderId="27" xfId="0" applyFill="1" applyBorder="1"/>
    <xf numFmtId="0" fontId="28" fillId="14" borderId="11" xfId="8" applyFont="1" applyFill="1" applyBorder="1" applyAlignment="1">
      <alignment horizontal="center" vertical="center"/>
    </xf>
    <xf numFmtId="0" fontId="19" fillId="14" borderId="24" xfId="8" applyFill="1" applyBorder="1"/>
    <xf numFmtId="0" fontId="19" fillId="14" borderId="14" xfId="8" applyFill="1" applyBorder="1"/>
    <xf numFmtId="0" fontId="19" fillId="14" borderId="14" xfId="8" applyFill="1" applyBorder="1" applyAlignment="1">
      <alignment horizontal="center"/>
    </xf>
    <xf numFmtId="0" fontId="19" fillId="14" borderId="14" xfId="8" applyFill="1" applyBorder="1" applyAlignment="1">
      <alignment horizontal="center" vertical="center"/>
    </xf>
    <xf numFmtId="0" fontId="0" fillId="14" borderId="25" xfId="0" applyFill="1" applyBorder="1"/>
    <xf numFmtId="164" fontId="37" fillId="4" borderId="11" xfId="8" applyNumberFormat="1" applyFont="1" applyFill="1" applyBorder="1" applyAlignment="1">
      <alignment horizontal="center" vertical="center"/>
    </xf>
    <xf numFmtId="164" fontId="65" fillId="4" borderId="27" xfId="8" applyNumberFormat="1" applyFont="1" applyFill="1" applyBorder="1" applyAlignment="1">
      <alignment horizontal="center" vertical="center"/>
    </xf>
    <xf numFmtId="164" fontId="37" fillId="4" borderId="17" xfId="8" applyNumberFormat="1" applyFont="1" applyFill="1" applyBorder="1" applyAlignment="1">
      <alignment horizontal="center" vertical="center"/>
    </xf>
    <xf numFmtId="164" fontId="37" fillId="4" borderId="22" xfId="8" applyNumberFormat="1" applyFont="1" applyFill="1" applyBorder="1" applyAlignment="1">
      <alignment horizontal="center" vertical="center"/>
    </xf>
    <xf numFmtId="164" fontId="37" fillId="4" borderId="26" xfId="8" applyNumberFormat="1" applyFont="1" applyFill="1" applyBorder="1" applyAlignment="1">
      <alignment horizontal="center" vertical="center"/>
    </xf>
    <xf numFmtId="164" fontId="52" fillId="2" borderId="74" xfId="4" applyNumberFormat="1" applyFont="1" applyFill="1" applyBorder="1" applyAlignment="1">
      <alignment horizontal="center" vertical="center"/>
    </xf>
    <xf numFmtId="165" fontId="52" fillId="29" borderId="18" xfId="8" applyNumberFormat="1" applyFont="1" applyFill="1" applyBorder="1" applyAlignment="1">
      <alignment horizontal="center" vertical="center"/>
    </xf>
    <xf numFmtId="164" fontId="30" fillId="10" borderId="5" xfId="0" applyNumberFormat="1" applyFont="1" applyFill="1" applyBorder="1" applyAlignment="1">
      <alignment horizontal="center" vertical="center"/>
    </xf>
    <xf numFmtId="164" fontId="30" fillId="10" borderId="6" xfId="0" applyNumberFormat="1" applyFont="1" applyFill="1" applyBorder="1" applyAlignment="1">
      <alignment horizontal="center" vertical="center"/>
    </xf>
    <xf numFmtId="0" fontId="30" fillId="23" borderId="3" xfId="8" applyFont="1" applyFill="1" applyBorder="1" applyAlignment="1">
      <alignment horizontal="center" vertical="center"/>
    </xf>
    <xf numFmtId="164" fontId="30" fillId="10" borderId="3" xfId="0" applyNumberFormat="1" applyFont="1" applyFill="1" applyBorder="1" applyAlignment="1">
      <alignment horizontal="center" vertical="center"/>
    </xf>
    <xf numFmtId="164" fontId="31" fillId="10" borderId="11" xfId="0" applyNumberFormat="1" applyFont="1" applyFill="1" applyBorder="1" applyAlignment="1">
      <alignment horizontal="center" vertical="center"/>
    </xf>
    <xf numFmtId="164" fontId="31" fillId="10" borderId="4" xfId="0" applyNumberFormat="1" applyFont="1" applyFill="1" applyBorder="1" applyAlignment="1">
      <alignment horizontal="center"/>
    </xf>
    <xf numFmtId="164" fontId="31" fillId="10" borderId="4" xfId="0" applyNumberFormat="1" applyFont="1" applyFill="1" applyBorder="1" applyAlignment="1">
      <alignment horizontal="center" vertical="center"/>
    </xf>
    <xf numFmtId="164" fontId="31" fillId="10" borderId="5" xfId="8" applyNumberFormat="1" applyFont="1" applyFill="1" applyBorder="1" applyAlignment="1">
      <alignment horizontal="center" vertical="center"/>
    </xf>
    <xf numFmtId="164" fontId="31" fillId="10" borderId="6" xfId="8" applyNumberFormat="1" applyFont="1" applyFill="1" applyBorder="1" applyAlignment="1">
      <alignment horizontal="center" vertical="center"/>
    </xf>
    <xf numFmtId="164" fontId="30" fillId="15" borderId="5" xfId="8" applyNumberFormat="1" applyFont="1" applyFill="1" applyBorder="1" applyAlignment="1">
      <alignment horizontal="center" vertical="center"/>
    </xf>
    <xf numFmtId="164" fontId="30" fillId="15" borderId="3" xfId="8" applyNumberFormat="1" applyFont="1" applyFill="1" applyBorder="1" applyAlignment="1">
      <alignment horizontal="center" vertical="center"/>
    </xf>
    <xf numFmtId="164" fontId="30" fillId="15" borderId="3" xfId="8" applyNumberFormat="1" applyFont="1" applyFill="1" applyBorder="1" applyAlignment="1">
      <alignment horizontal="center"/>
    </xf>
    <xf numFmtId="164" fontId="30" fillId="15" borderId="3" xfId="0" applyNumberFormat="1" applyFont="1" applyFill="1" applyBorder="1" applyAlignment="1"/>
    <xf numFmtId="164" fontId="30" fillId="15" borderId="3" xfId="0" applyNumberFormat="1" applyFont="1" applyFill="1" applyBorder="1"/>
    <xf numFmtId="164" fontId="30" fillId="15" borderId="6" xfId="0" applyNumberFormat="1" applyFont="1" applyFill="1" applyBorder="1"/>
    <xf numFmtId="164" fontId="30" fillId="15" borderId="6" xfId="0" applyNumberFormat="1" applyFont="1" applyFill="1" applyBorder="1" applyAlignment="1"/>
    <xf numFmtId="0" fontId="25" fillId="5" borderId="27" xfId="8" applyFont="1" applyFill="1" applyBorder="1" applyAlignment="1">
      <alignment horizontal="left" vertical="center"/>
    </xf>
    <xf numFmtId="164" fontId="31" fillId="10" borderId="11" xfId="8" applyNumberFormat="1" applyFont="1" applyFill="1" applyBorder="1" applyAlignment="1">
      <alignment horizontal="center" vertical="center"/>
    </xf>
    <xf numFmtId="164" fontId="70" fillId="10" borderId="5" xfId="8" applyNumberFormat="1" applyFont="1" applyFill="1" applyBorder="1" applyAlignment="1">
      <alignment horizontal="center" vertical="center"/>
    </xf>
    <xf numFmtId="164" fontId="70" fillId="10" borderId="6" xfId="8" applyNumberFormat="1" applyFont="1" applyFill="1" applyBorder="1" applyAlignment="1">
      <alignment horizontal="center" vertical="center"/>
    </xf>
    <xf numFmtId="164" fontId="70" fillId="10" borderId="3" xfId="8" applyNumberFormat="1" applyFont="1" applyFill="1" applyBorder="1" applyAlignment="1">
      <alignment horizontal="center" vertical="center"/>
    </xf>
    <xf numFmtId="0" fontId="30" fillId="30" borderId="3" xfId="8" applyFont="1" applyFill="1" applyBorder="1" applyAlignment="1">
      <alignment horizontal="center" vertical="center"/>
    </xf>
    <xf numFmtId="0" fontId="30" fillId="30" borderId="3" xfId="0" applyFont="1" applyFill="1" applyBorder="1" applyAlignment="1">
      <alignment horizontal="center" vertical="center"/>
    </xf>
    <xf numFmtId="0" fontId="30" fillId="30" borderId="3" xfId="0" applyFont="1" applyFill="1" applyBorder="1" applyAlignment="1">
      <alignment horizontal="right" vertical="center"/>
    </xf>
    <xf numFmtId="0" fontId="0" fillId="30" borderId="3" xfId="0" applyFill="1" applyBorder="1"/>
    <xf numFmtId="0" fontId="0" fillId="30" borderId="6" xfId="0" applyFill="1" applyBorder="1"/>
    <xf numFmtId="0" fontId="30" fillId="30" borderId="7" xfId="8" applyFont="1" applyFill="1" applyBorder="1" applyAlignment="1">
      <alignment horizontal="left" vertical="center"/>
    </xf>
    <xf numFmtId="0" fontId="30" fillId="30" borderId="10" xfId="8" applyFont="1" applyFill="1" applyBorder="1" applyAlignment="1">
      <alignment horizontal="left" vertical="center"/>
    </xf>
    <xf numFmtId="164" fontId="30" fillId="30" borderId="10" xfId="8" applyNumberFormat="1" applyFont="1" applyFill="1" applyBorder="1" applyAlignment="1">
      <alignment horizontal="left" vertical="center"/>
    </xf>
    <xf numFmtId="0" fontId="30" fillId="30" borderId="10" xfId="0" applyFont="1" applyFill="1" applyBorder="1" applyAlignment="1"/>
    <xf numFmtId="0" fontId="30" fillId="30" borderId="33" xfId="0" applyFont="1" applyFill="1" applyBorder="1" applyAlignment="1"/>
    <xf numFmtId="0" fontId="30" fillId="30" borderId="3" xfId="8" applyFont="1" applyFill="1" applyBorder="1" applyAlignment="1">
      <alignment horizontal="left" vertical="center"/>
    </xf>
    <xf numFmtId="0" fontId="30" fillId="30" borderId="3" xfId="8" quotePrefix="1" applyFont="1" applyFill="1" applyBorder="1" applyAlignment="1">
      <alignment horizontal="left" vertical="center"/>
    </xf>
    <xf numFmtId="0" fontId="30" fillId="30" borderId="6" xfId="8" applyFont="1" applyFill="1" applyBorder="1" applyAlignment="1">
      <alignment horizontal="left" vertical="center"/>
    </xf>
    <xf numFmtId="0" fontId="30" fillId="30" borderId="10" xfId="8" quotePrefix="1" applyFont="1" applyFill="1" applyBorder="1" applyAlignment="1">
      <alignment horizontal="left" vertical="center"/>
    </xf>
    <xf numFmtId="0" fontId="30" fillId="30" borderId="33" xfId="8" applyFont="1" applyFill="1" applyBorder="1" applyAlignment="1">
      <alignment horizontal="left" vertical="center"/>
    </xf>
    <xf numFmtId="164" fontId="63" fillId="0" borderId="11" xfId="0" applyNumberFormat="1" applyFont="1" applyFill="1" applyBorder="1" applyAlignment="1">
      <alignment horizontal="center" vertical="center" wrapText="1"/>
    </xf>
    <xf numFmtId="164" fontId="33" fillId="24" borderId="5" xfId="8" applyNumberFormat="1" applyFont="1" applyFill="1" applyBorder="1" applyAlignment="1">
      <alignment horizontal="center" vertical="center"/>
    </xf>
    <xf numFmtId="164" fontId="50" fillId="3" borderId="27" xfId="8" applyNumberFormat="1" applyFont="1" applyFill="1" applyBorder="1" applyAlignment="1">
      <alignment horizontal="left" vertical="center"/>
    </xf>
    <xf numFmtId="0" fontId="30" fillId="23" borderId="10" xfId="8" applyFont="1" applyFill="1" applyBorder="1" applyAlignment="1">
      <alignment horizontal="left" vertical="center"/>
    </xf>
    <xf numFmtId="164" fontId="30" fillId="23" borderId="10" xfId="8" applyNumberFormat="1" applyFont="1" applyFill="1" applyBorder="1" applyAlignment="1">
      <alignment horizontal="left" vertical="center"/>
    </xf>
    <xf numFmtId="0" fontId="30" fillId="23" borderId="10" xfId="0" applyFont="1" applyFill="1" applyBorder="1" applyAlignment="1"/>
    <xf numFmtId="0" fontId="30" fillId="23" borderId="33" xfId="0" applyFont="1" applyFill="1" applyBorder="1" applyAlignment="1"/>
    <xf numFmtId="0" fontId="30" fillId="23" borderId="3" xfId="0" applyFont="1" applyFill="1" applyBorder="1" applyAlignment="1">
      <alignment horizontal="center" vertical="center"/>
    </xf>
    <xf numFmtId="0" fontId="30" fillId="23" borderId="3" xfId="0" applyFont="1" applyFill="1" applyBorder="1" applyAlignment="1">
      <alignment horizontal="right" vertical="center"/>
    </xf>
    <xf numFmtId="0" fontId="0" fillId="23" borderId="3" xfId="0" applyFill="1" applyBorder="1"/>
    <xf numFmtId="0" fontId="0" fillId="23" borderId="6" xfId="0" applyFill="1" applyBorder="1"/>
    <xf numFmtId="0" fontId="30" fillId="23" borderId="3" xfId="8" applyFont="1" applyFill="1" applyBorder="1" applyAlignment="1">
      <alignment horizontal="left" vertical="center"/>
    </xf>
    <xf numFmtId="0" fontId="30" fillId="23" borderId="3" xfId="8" quotePrefix="1" applyFont="1" applyFill="1" applyBorder="1" applyAlignment="1">
      <alignment horizontal="left" vertical="center"/>
    </xf>
    <xf numFmtId="0" fontId="30" fillId="23" borderId="6" xfId="8" applyFont="1" applyFill="1" applyBorder="1" applyAlignment="1">
      <alignment horizontal="left" vertical="center"/>
    </xf>
    <xf numFmtId="0" fontId="30" fillId="23" borderId="10" xfId="8" quotePrefix="1" applyFont="1" applyFill="1" applyBorder="1" applyAlignment="1">
      <alignment horizontal="left" vertical="center"/>
    </xf>
    <xf numFmtId="0" fontId="30" fillId="23" borderId="33" xfId="8" applyFont="1" applyFill="1" applyBorder="1" applyAlignment="1">
      <alignment horizontal="left" vertical="center"/>
    </xf>
    <xf numFmtId="164" fontId="31" fillId="23" borderId="10" xfId="8" applyNumberFormat="1" applyFont="1" applyFill="1" applyBorder="1" applyAlignment="1">
      <alignment horizontal="center" vertical="center"/>
    </xf>
    <xf numFmtId="164" fontId="66" fillId="4" borderId="18" xfId="8" applyNumberFormat="1" applyFont="1" applyFill="1" applyBorder="1" applyAlignment="1">
      <alignment horizontal="center" vertical="center"/>
    </xf>
    <xf numFmtId="164" fontId="30" fillId="10" borderId="5" xfId="0" applyNumberFormat="1" applyFont="1" applyFill="1" applyBorder="1" applyAlignment="1">
      <alignment horizontal="center" vertical="center"/>
    </xf>
    <xf numFmtId="0" fontId="30" fillId="23" borderId="38" xfId="8" applyFont="1" applyFill="1" applyBorder="1" applyAlignment="1">
      <alignment horizontal="left" vertical="center"/>
    </xf>
    <xf numFmtId="164" fontId="31" fillId="10" borderId="1" xfId="8" applyNumberFormat="1" applyFont="1" applyFill="1" applyBorder="1" applyAlignment="1">
      <alignment horizontal="center" vertical="center"/>
    </xf>
    <xf numFmtId="0" fontId="41" fillId="21" borderId="3" xfId="8" applyFont="1" applyFill="1" applyBorder="1" applyAlignment="1">
      <alignment horizontal="center" vertical="center"/>
    </xf>
    <xf numFmtId="164" fontId="41" fillId="21" borderId="3" xfId="8" applyNumberFormat="1" applyFont="1" applyFill="1" applyBorder="1" applyAlignment="1">
      <alignment horizontal="center" vertical="center"/>
    </xf>
    <xf numFmtId="164" fontId="37" fillId="21" borderId="11" xfId="0" applyNumberFormat="1" applyFont="1" applyFill="1" applyBorder="1" applyAlignment="1">
      <alignment horizontal="center" vertical="center"/>
    </xf>
    <xf numFmtId="164" fontId="41" fillId="21" borderId="3" xfId="0" applyNumberFormat="1" applyFont="1" applyFill="1" applyBorder="1" applyAlignment="1">
      <alignment horizontal="center" vertical="center"/>
    </xf>
    <xf numFmtId="164" fontId="30" fillId="10" borderId="10" xfId="0" applyNumberFormat="1" applyFont="1" applyFill="1" applyBorder="1" applyAlignment="1">
      <alignment horizontal="center" vertical="center"/>
    </xf>
    <xf numFmtId="2" fontId="61" fillId="7" borderId="24" xfId="8" applyNumberFormat="1" applyFont="1" applyFill="1" applyBorder="1" applyAlignment="1">
      <alignment horizontal="center" vertical="center"/>
    </xf>
    <xf numFmtId="0" fontId="0" fillId="7" borderId="24" xfId="0" applyFill="1" applyBorder="1"/>
    <xf numFmtId="0" fontId="0" fillId="7" borderId="25" xfId="0" applyFill="1" applyBorder="1"/>
    <xf numFmtId="1" fontId="71" fillId="14" borderId="0" xfId="0" applyNumberFormat="1" applyFont="1" applyFill="1"/>
    <xf numFmtId="1" fontId="73" fillId="7" borderId="16" xfId="0" applyNumberFormat="1" applyFont="1" applyFill="1" applyBorder="1" applyAlignment="1">
      <alignment horizontal="center" vertical="center"/>
    </xf>
    <xf numFmtId="1" fontId="73" fillId="7" borderId="14" xfId="0" applyNumberFormat="1" applyFont="1" applyFill="1" applyBorder="1" applyAlignment="1">
      <alignment horizontal="center" vertical="center"/>
    </xf>
    <xf numFmtId="1" fontId="74" fillId="7" borderId="27" xfId="8" applyNumberFormat="1" applyFont="1" applyFill="1" applyBorder="1" applyAlignment="1">
      <alignment horizontal="center" vertical="center"/>
    </xf>
    <xf numFmtId="1" fontId="74" fillId="7" borderId="25" xfId="8" applyNumberFormat="1" applyFont="1" applyFill="1" applyBorder="1" applyAlignment="1">
      <alignment horizontal="center" vertical="center"/>
    </xf>
    <xf numFmtId="1" fontId="73" fillId="7" borderId="22" xfId="0" applyNumberFormat="1" applyFont="1" applyFill="1" applyBorder="1" applyAlignment="1">
      <alignment horizontal="center" vertical="center"/>
    </xf>
    <xf numFmtId="1" fontId="73" fillId="7" borderId="23" xfId="0" applyNumberFormat="1" applyFont="1" applyFill="1" applyBorder="1" applyAlignment="1">
      <alignment horizontal="center" vertical="center"/>
    </xf>
    <xf numFmtId="1" fontId="73" fillId="7" borderId="24" xfId="0" applyNumberFormat="1" applyFont="1" applyFill="1" applyBorder="1" applyAlignment="1">
      <alignment horizontal="center" vertical="center"/>
    </xf>
    <xf numFmtId="1" fontId="73" fillId="7" borderId="25" xfId="0" applyNumberFormat="1" applyFont="1" applyFill="1" applyBorder="1" applyAlignment="1">
      <alignment horizontal="center" vertical="center"/>
    </xf>
    <xf numFmtId="1" fontId="71" fillId="14" borderId="11" xfId="8" applyNumberFormat="1" applyFont="1" applyFill="1" applyAlignment="1">
      <alignment horizontal="center" vertical="center"/>
    </xf>
    <xf numFmtId="1" fontId="74" fillId="7" borderId="18" xfId="8" applyNumberFormat="1" applyFont="1" applyFill="1" applyBorder="1" applyAlignment="1">
      <alignment horizontal="center" vertical="center"/>
    </xf>
    <xf numFmtId="1" fontId="74" fillId="7" borderId="19" xfId="8" applyNumberFormat="1" applyFont="1" applyFill="1" applyBorder="1" applyAlignment="1">
      <alignment horizontal="center" vertical="center"/>
    </xf>
    <xf numFmtId="164" fontId="0" fillId="4" borderId="17" xfId="0" applyNumberFormat="1" applyFill="1" applyBorder="1" applyAlignment="1">
      <alignment horizontal="center" vertical="center"/>
    </xf>
    <xf numFmtId="164" fontId="0" fillId="4" borderId="18" xfId="0" applyNumberFormat="1" applyFill="1" applyBorder="1" applyAlignment="1">
      <alignment horizontal="center" vertical="center"/>
    </xf>
    <xf numFmtId="164" fontId="0" fillId="4" borderId="19" xfId="0" applyNumberFormat="1" applyFill="1" applyBorder="1" applyAlignment="1">
      <alignment horizontal="center" vertical="center"/>
    </xf>
    <xf numFmtId="0" fontId="30" fillId="10" borderId="51" xfId="0" applyFont="1" applyFill="1" applyBorder="1" applyAlignment="1">
      <alignment horizontal="center" vertical="center"/>
    </xf>
    <xf numFmtId="0" fontId="30" fillId="10" borderId="37" xfId="0" applyFont="1" applyFill="1" applyBorder="1" applyAlignment="1">
      <alignment horizontal="center" vertical="center"/>
    </xf>
    <xf numFmtId="0" fontId="30" fillId="10" borderId="54" xfId="0" applyFont="1" applyFill="1" applyBorder="1" applyAlignment="1">
      <alignment horizontal="center" vertical="center"/>
    </xf>
    <xf numFmtId="164" fontId="1" fillId="4" borderId="17" xfId="8" applyNumberFormat="1" applyFont="1" applyFill="1" applyBorder="1" applyAlignment="1">
      <alignment horizontal="center" vertical="center"/>
    </xf>
    <xf numFmtId="164" fontId="1" fillId="4" borderId="18" xfId="8" applyNumberFormat="1" applyFont="1" applyFill="1" applyBorder="1" applyAlignment="1">
      <alignment horizontal="center" vertical="center"/>
    </xf>
    <xf numFmtId="164" fontId="1" fillId="4" borderId="19" xfId="8" applyNumberFormat="1" applyFont="1" applyFill="1" applyBorder="1" applyAlignment="1">
      <alignment horizontal="center" vertical="center"/>
    </xf>
    <xf numFmtId="0" fontId="0" fillId="7" borderId="14" xfId="0" applyFill="1" applyBorder="1"/>
    <xf numFmtId="1" fontId="72" fillId="7" borderId="22" xfId="0" applyNumberFormat="1" applyFont="1" applyFill="1" applyBorder="1" applyAlignment="1">
      <alignment horizontal="center" vertical="center"/>
    </xf>
    <xf numFmtId="1" fontId="72" fillId="7" borderId="26" xfId="0" applyNumberFormat="1" applyFont="1" applyFill="1" applyBorder="1" applyAlignment="1">
      <alignment horizontal="center" vertical="center"/>
    </xf>
    <xf numFmtId="1" fontId="72" fillId="7" borderId="24" xfId="0" applyNumberFormat="1" applyFont="1" applyFill="1" applyBorder="1" applyAlignment="1">
      <alignment horizontal="center" vertical="center"/>
    </xf>
    <xf numFmtId="1" fontId="72" fillId="7" borderId="23" xfId="0" applyNumberFormat="1" applyFont="1" applyFill="1" applyBorder="1" applyAlignment="1">
      <alignment horizontal="center" vertical="center"/>
    </xf>
    <xf numFmtId="1" fontId="72" fillId="7" borderId="27" xfId="0" applyNumberFormat="1" applyFont="1" applyFill="1" applyBorder="1" applyAlignment="1">
      <alignment horizontal="center" vertical="center"/>
    </xf>
    <xf numFmtId="1" fontId="72" fillId="7" borderId="25" xfId="0" applyNumberFormat="1" applyFont="1" applyFill="1" applyBorder="1" applyAlignment="1">
      <alignment horizontal="center" vertical="center"/>
    </xf>
    <xf numFmtId="1" fontId="72" fillId="7" borderId="16" xfId="0" applyNumberFormat="1" applyFont="1" applyFill="1" applyBorder="1" applyAlignment="1">
      <alignment horizontal="center" vertical="center"/>
    </xf>
    <xf numFmtId="1" fontId="72" fillId="7" borderId="11" xfId="0" applyNumberFormat="1" applyFont="1" applyFill="1" applyBorder="1" applyAlignment="1">
      <alignment horizontal="center" vertical="center"/>
    </xf>
    <xf numFmtId="1" fontId="72" fillId="7" borderId="14" xfId="0" applyNumberFormat="1" applyFont="1" applyFill="1" applyBorder="1" applyAlignment="1">
      <alignment horizontal="center" vertical="center"/>
    </xf>
    <xf numFmtId="164" fontId="30" fillId="30" borderId="3" xfId="8" applyNumberFormat="1" applyFont="1" applyFill="1" applyBorder="1" applyAlignment="1">
      <alignment horizontal="center" vertical="center"/>
    </xf>
    <xf numFmtId="164" fontId="30" fillId="30" borderId="3" xfId="8" applyNumberFormat="1" applyFont="1" applyFill="1" applyBorder="1" applyAlignment="1">
      <alignment horizontal="center"/>
    </xf>
    <xf numFmtId="164" fontId="30" fillId="30" borderId="5" xfId="8" applyNumberFormat="1" applyFont="1" applyFill="1" applyBorder="1" applyAlignment="1">
      <alignment horizontal="center" vertical="center"/>
    </xf>
    <xf numFmtId="164" fontId="30" fillId="30" borderId="3" xfId="0" applyNumberFormat="1" applyFont="1" applyFill="1" applyBorder="1" applyAlignment="1"/>
    <xf numFmtId="164" fontId="30" fillId="30" borderId="6" xfId="0" applyNumberFormat="1" applyFont="1" applyFill="1" applyBorder="1" applyAlignment="1"/>
    <xf numFmtId="164" fontId="70" fillId="31" borderId="5" xfId="8" applyNumberFormat="1" applyFont="1" applyFill="1" applyBorder="1" applyAlignment="1">
      <alignment horizontal="center" vertical="center"/>
    </xf>
    <xf numFmtId="164" fontId="70" fillId="31" borderId="3" xfId="8" applyNumberFormat="1" applyFont="1" applyFill="1" applyBorder="1" applyAlignment="1">
      <alignment horizontal="center" vertical="center"/>
    </xf>
    <xf numFmtId="164" fontId="70" fillId="31" borderId="6" xfId="8" applyNumberFormat="1" applyFont="1" applyFill="1" applyBorder="1" applyAlignment="1">
      <alignment horizontal="center" vertical="center"/>
    </xf>
    <xf numFmtId="164" fontId="50" fillId="7" borderId="18" xfId="8" applyNumberFormat="1" applyFont="1" applyFill="1" applyBorder="1" applyAlignment="1">
      <alignment horizontal="center" vertical="center"/>
    </xf>
    <xf numFmtId="165" fontId="52" fillId="2" borderId="17" xfId="8" applyNumberFormat="1" applyFont="1" applyFill="1" applyBorder="1" applyAlignment="1">
      <alignment horizontal="center" vertical="center"/>
    </xf>
    <xf numFmtId="0" fontId="0" fillId="14" borderId="0" xfId="0" applyFill="1" applyAlignment="1">
      <alignment horizontal="center"/>
    </xf>
    <xf numFmtId="1" fontId="50" fillId="14" borderId="0" xfId="0" applyNumberFormat="1" applyFont="1" applyFill="1"/>
    <xf numFmtId="1" fontId="75" fillId="10" borderId="8" xfId="0" applyNumberFormat="1" applyFont="1" applyFill="1" applyBorder="1" applyAlignment="1">
      <alignment horizontal="center" vertical="center"/>
    </xf>
    <xf numFmtId="1" fontId="75" fillId="10" borderId="1" xfId="0" applyNumberFormat="1" applyFont="1" applyFill="1" applyBorder="1" applyAlignment="1">
      <alignment horizontal="center" vertical="center"/>
    </xf>
    <xf numFmtId="1" fontId="75" fillId="10" borderId="34" xfId="0" applyNumberFormat="1" applyFont="1" applyFill="1" applyBorder="1" applyAlignment="1">
      <alignment horizontal="center" vertical="center"/>
    </xf>
    <xf numFmtId="1" fontId="50" fillId="14" borderId="11" xfId="8" applyNumberFormat="1" applyFont="1" applyFill="1" applyAlignment="1">
      <alignment horizontal="center" vertical="center"/>
    </xf>
    <xf numFmtId="0" fontId="76" fillId="32" borderId="11" xfId="0" applyFont="1" applyFill="1" applyBorder="1" applyAlignment="1">
      <alignment vertical="center" wrapText="1"/>
    </xf>
    <xf numFmtId="0" fontId="42" fillId="4" borderId="11" xfId="0" applyFont="1" applyFill="1" applyBorder="1" applyAlignment="1">
      <alignment horizontal="center" vertical="center" wrapText="1"/>
    </xf>
    <xf numFmtId="165" fontId="76" fillId="32" borderId="11" xfId="0" applyNumberFormat="1" applyFont="1" applyFill="1" applyBorder="1" applyAlignment="1">
      <alignment horizontal="center" vertical="center" wrapText="1"/>
    </xf>
    <xf numFmtId="164" fontId="76" fillId="32" borderId="11" xfId="0" applyNumberFormat="1" applyFont="1" applyFill="1" applyBorder="1" applyAlignment="1">
      <alignment horizontal="center" vertical="center" wrapText="1"/>
    </xf>
    <xf numFmtId="164" fontId="30" fillId="30" borderId="3" xfId="0" applyNumberFormat="1" applyFont="1" applyFill="1" applyBorder="1" applyAlignment="1">
      <alignment horizontal="center"/>
    </xf>
    <xf numFmtId="164" fontId="30" fillId="30" borderId="6" xfId="0" applyNumberFormat="1" applyFont="1" applyFill="1" applyBorder="1" applyAlignment="1">
      <alignment horizontal="center"/>
    </xf>
    <xf numFmtId="164" fontId="65" fillId="4" borderId="19" xfId="8" applyNumberFormat="1" applyFont="1" applyFill="1" applyBorder="1" applyAlignment="1">
      <alignment horizontal="center" vertical="center"/>
    </xf>
    <xf numFmtId="0" fontId="19" fillId="9" borderId="26" xfId="8" applyFill="1" applyBorder="1"/>
    <xf numFmtId="164" fontId="55" fillId="10" borderId="22" xfId="8" applyNumberFormat="1" applyFont="1" applyFill="1" applyBorder="1" applyAlignment="1">
      <alignment horizontal="center" vertical="center"/>
    </xf>
    <xf numFmtId="164" fontId="55" fillId="10" borderId="81" xfId="8" applyNumberFormat="1" applyFont="1" applyFill="1" applyBorder="1" applyAlignment="1">
      <alignment horizontal="center" vertical="center"/>
    </xf>
    <xf numFmtId="164" fontId="55" fillId="10" borderId="23" xfId="8" applyNumberFormat="1" applyFont="1" applyFill="1" applyBorder="1" applyAlignment="1">
      <alignment horizontal="center" vertical="center"/>
    </xf>
    <xf numFmtId="164" fontId="33" fillId="24" borderId="56" xfId="8" applyNumberFormat="1" applyFont="1" applyFill="1" applyBorder="1" applyAlignment="1">
      <alignment horizontal="center" vertical="center"/>
    </xf>
    <xf numFmtId="0" fontId="30" fillId="33" borderId="3" xfId="8" applyFont="1" applyFill="1" applyBorder="1" applyAlignment="1">
      <alignment horizontal="center" vertical="center"/>
    </xf>
    <xf numFmtId="0" fontId="30" fillId="33" borderId="3" xfId="0" applyFont="1" applyFill="1" applyBorder="1" applyAlignment="1">
      <alignment horizontal="center" vertical="center"/>
    </xf>
    <xf numFmtId="0" fontId="30" fillId="10" borderId="17" xfId="0" applyFont="1" applyFill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64" fontId="0" fillId="0" borderId="17" xfId="0" applyNumberFormat="1" applyFill="1" applyBorder="1" applyAlignment="1">
      <alignment horizontal="center" vertical="center"/>
    </xf>
    <xf numFmtId="164" fontId="0" fillId="0" borderId="19" xfId="0" applyNumberFormat="1" applyFill="1" applyBorder="1" applyAlignment="1">
      <alignment horizontal="center" vertical="center"/>
    </xf>
    <xf numFmtId="164" fontId="28" fillId="6" borderId="17" xfId="0" applyNumberFormat="1" applyFont="1" applyFill="1" applyBorder="1" applyAlignment="1">
      <alignment horizontal="center" vertical="center"/>
    </xf>
    <xf numFmtId="164" fontId="28" fillId="6" borderId="19" xfId="0" applyNumberFormat="1" applyFont="1" applyFill="1" applyBorder="1" applyAlignment="1">
      <alignment horizontal="center" vertical="center"/>
    </xf>
    <xf numFmtId="0" fontId="30" fillId="10" borderId="18" xfId="0" applyFont="1" applyFill="1" applyBorder="1" applyAlignment="1">
      <alignment horizontal="center" vertical="center"/>
    </xf>
    <xf numFmtId="164" fontId="0" fillId="4" borderId="18" xfId="0" applyNumberFormat="1" applyFill="1" applyBorder="1" applyAlignment="1">
      <alignment horizontal="center" vertical="center"/>
    </xf>
    <xf numFmtId="164" fontId="0" fillId="4" borderId="19" xfId="0" applyNumberFormat="1" applyFill="1" applyBorder="1" applyAlignment="1">
      <alignment horizontal="center" vertical="center"/>
    </xf>
    <xf numFmtId="164" fontId="0" fillId="4" borderId="17" xfId="0" applyNumberFormat="1" applyFill="1" applyBorder="1" applyAlignment="1">
      <alignment horizontal="center" vertical="center"/>
    </xf>
    <xf numFmtId="164" fontId="30" fillId="10" borderId="5" xfId="8" applyNumberFormat="1" applyFont="1" applyFill="1" applyBorder="1" applyAlignment="1">
      <alignment horizontal="center" vertical="center"/>
    </xf>
    <xf numFmtId="164" fontId="30" fillId="10" borderId="13" xfId="8" applyNumberFormat="1" applyFont="1" applyFill="1" applyBorder="1" applyAlignment="1">
      <alignment horizontal="center" vertical="center"/>
    </xf>
    <xf numFmtId="164" fontId="30" fillId="30" borderId="7" xfId="8" applyNumberFormat="1" applyFont="1" applyFill="1" applyBorder="1" applyAlignment="1">
      <alignment horizontal="center" vertical="center"/>
    </xf>
    <xf numFmtId="164" fontId="30" fillId="30" borderId="9" xfId="8" applyNumberFormat="1" applyFont="1" applyFill="1" applyBorder="1" applyAlignment="1">
      <alignment horizontal="center" vertical="center"/>
    </xf>
    <xf numFmtId="164" fontId="30" fillId="30" borderId="33" xfId="8" applyNumberFormat="1" applyFont="1" applyFill="1" applyBorder="1" applyAlignment="1">
      <alignment horizontal="center" vertical="center"/>
    </xf>
    <xf numFmtId="164" fontId="30" fillId="30" borderId="4" xfId="8" applyNumberFormat="1" applyFont="1" applyFill="1" applyBorder="1" applyAlignment="1">
      <alignment horizontal="center" vertical="center"/>
    </xf>
    <xf numFmtId="164" fontId="30" fillId="31" borderId="5" xfId="8" applyNumberFormat="1" applyFont="1" applyFill="1" applyBorder="1" applyAlignment="1">
      <alignment horizontal="center" vertical="center"/>
    </xf>
    <xf numFmtId="164" fontId="30" fillId="31" borderId="6" xfId="8" applyNumberFormat="1" applyFont="1" applyFill="1" applyBorder="1" applyAlignment="1">
      <alignment horizontal="center" vertical="center"/>
    </xf>
    <xf numFmtId="0" fontId="30" fillId="10" borderId="3" xfId="0" applyFont="1" applyFill="1" applyBorder="1" applyAlignment="1">
      <alignment horizontal="center" vertical="center"/>
    </xf>
    <xf numFmtId="0" fontId="30" fillId="10" borderId="6" xfId="0" applyFont="1" applyFill="1" applyBorder="1" applyAlignment="1">
      <alignment horizontal="center" vertical="center"/>
    </xf>
    <xf numFmtId="164" fontId="30" fillId="30" borderId="8" xfId="8" applyNumberFormat="1" applyFont="1" applyFill="1" applyBorder="1" applyAlignment="1">
      <alignment horizontal="center" vertical="center"/>
    </xf>
    <xf numFmtId="164" fontId="30" fillId="30" borderId="10" xfId="8" applyNumberFormat="1" applyFont="1" applyFill="1" applyBorder="1" applyAlignment="1">
      <alignment horizontal="center" vertical="center"/>
    </xf>
    <xf numFmtId="164" fontId="30" fillId="30" borderId="11" xfId="8" applyNumberFormat="1" applyFont="1" applyFill="1" applyBorder="1" applyAlignment="1">
      <alignment horizontal="center" vertical="center"/>
    </xf>
    <xf numFmtId="164" fontId="30" fillId="30" borderId="1" xfId="8" applyNumberFormat="1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10" borderId="6" xfId="0" applyFont="1" applyFill="1" applyBorder="1" applyAlignment="1">
      <alignment horizontal="center" vertical="center"/>
    </xf>
    <xf numFmtId="0" fontId="30" fillId="10" borderId="5" xfId="8" applyFont="1" applyFill="1" applyBorder="1" applyAlignment="1">
      <alignment horizontal="center" vertical="center"/>
    </xf>
    <xf numFmtId="0" fontId="30" fillId="10" borderId="6" xfId="8" applyFont="1" applyFill="1" applyBorder="1" applyAlignment="1">
      <alignment horizontal="center" vertical="center"/>
    </xf>
    <xf numFmtId="164" fontId="30" fillId="10" borderId="6" xfId="8" applyNumberFormat="1" applyFont="1" applyFill="1" applyBorder="1" applyAlignment="1">
      <alignment horizontal="center" vertical="center"/>
    </xf>
    <xf numFmtId="0" fontId="33" fillId="10" borderId="7" xfId="0" applyFont="1" applyFill="1" applyBorder="1" applyAlignment="1">
      <alignment horizontal="center" vertical="center"/>
    </xf>
    <xf numFmtId="0" fontId="33" fillId="10" borderId="9" xfId="0" applyFont="1" applyFill="1" applyBorder="1" applyAlignment="1">
      <alignment horizontal="center" vertical="center"/>
    </xf>
    <xf numFmtId="0" fontId="33" fillId="10" borderId="8" xfId="0" applyFont="1" applyFill="1" applyBorder="1" applyAlignment="1">
      <alignment horizontal="center" vertical="center"/>
    </xf>
    <xf numFmtId="0" fontId="33" fillId="10" borderId="76" xfId="0" applyFont="1" applyFill="1" applyBorder="1" applyAlignment="1">
      <alignment horizontal="center" vertical="center"/>
    </xf>
    <xf numFmtId="0" fontId="33" fillId="10" borderId="77" xfId="0" applyFont="1" applyFill="1" applyBorder="1" applyAlignment="1">
      <alignment horizontal="center" vertical="center"/>
    </xf>
    <xf numFmtId="0" fontId="33" fillId="10" borderId="78" xfId="0" applyFont="1" applyFill="1" applyBorder="1" applyAlignment="1">
      <alignment horizontal="center" vertical="center"/>
    </xf>
    <xf numFmtId="164" fontId="33" fillId="24" borderId="7" xfId="0" applyNumberFormat="1" applyFont="1" applyFill="1" applyBorder="1" applyAlignment="1">
      <alignment horizontal="center" vertical="center"/>
    </xf>
    <xf numFmtId="164" fontId="33" fillId="24" borderId="9" xfId="0" applyNumberFormat="1" applyFont="1" applyFill="1" applyBorder="1" applyAlignment="1">
      <alignment horizontal="center" vertical="center"/>
    </xf>
    <xf numFmtId="164" fontId="33" fillId="24" borderId="30" xfId="0" applyNumberFormat="1" applyFont="1" applyFill="1" applyBorder="1" applyAlignment="1">
      <alignment horizontal="center" vertical="center"/>
    </xf>
    <xf numFmtId="164" fontId="33" fillId="24" borderId="14" xfId="0" applyNumberFormat="1" applyFont="1" applyFill="1" applyBorder="1" applyAlignment="1">
      <alignment horizontal="center" vertical="center"/>
    </xf>
    <xf numFmtId="164" fontId="34" fillId="22" borderId="16" xfId="0" applyNumberFormat="1" applyFont="1" applyFill="1" applyBorder="1" applyAlignment="1">
      <alignment horizontal="center" vertical="center"/>
    </xf>
    <xf numFmtId="164" fontId="34" fillId="22" borderId="23" xfId="0" applyNumberFormat="1" applyFont="1" applyFill="1" applyBorder="1" applyAlignment="1">
      <alignment horizontal="center" vertical="center"/>
    </xf>
    <xf numFmtId="164" fontId="34" fillId="22" borderId="14" xfId="0" applyNumberFormat="1" applyFont="1" applyFill="1" applyBorder="1" applyAlignment="1">
      <alignment horizontal="center" vertical="center"/>
    </xf>
    <xf numFmtId="164" fontId="34" fillId="22" borderId="25" xfId="0" applyNumberFormat="1" applyFont="1" applyFill="1" applyBorder="1" applyAlignment="1">
      <alignment horizontal="center" vertical="center"/>
    </xf>
    <xf numFmtId="164" fontId="34" fillId="6" borderId="22" xfId="0" applyNumberFormat="1" applyFont="1" applyFill="1" applyBorder="1" applyAlignment="1">
      <alignment horizontal="center" vertical="center"/>
    </xf>
    <xf numFmtId="164" fontId="34" fillId="6" borderId="23" xfId="0" applyNumberFormat="1" applyFont="1" applyFill="1" applyBorder="1" applyAlignment="1">
      <alignment horizontal="center" vertical="center"/>
    </xf>
    <xf numFmtId="164" fontId="34" fillId="6" borderId="24" xfId="0" applyNumberFormat="1" applyFont="1" applyFill="1" applyBorder="1" applyAlignment="1">
      <alignment horizontal="center" vertical="center"/>
    </xf>
    <xf numFmtId="164" fontId="34" fillId="6" borderId="25" xfId="0" applyNumberFormat="1" applyFont="1" applyFill="1" applyBorder="1" applyAlignment="1">
      <alignment horizontal="center" vertical="center"/>
    </xf>
    <xf numFmtId="0" fontId="30" fillId="23" borderId="5" xfId="8" applyFont="1" applyFill="1" applyBorder="1" applyAlignment="1">
      <alignment horizontal="center" vertical="center" wrapText="1"/>
    </xf>
    <xf numFmtId="0" fontId="30" fillId="23" borderId="6" xfId="8" applyFont="1" applyFill="1" applyBorder="1" applyAlignment="1">
      <alignment horizontal="center" vertical="center" wrapText="1"/>
    </xf>
    <xf numFmtId="164" fontId="44" fillId="10" borderId="10" xfId="8" applyNumberFormat="1" applyFont="1" applyFill="1" applyBorder="1" applyAlignment="1">
      <alignment horizontal="center" vertical="center" wrapText="1"/>
    </xf>
    <xf numFmtId="164" fontId="44" fillId="10" borderId="11" xfId="8" applyNumberFormat="1" applyFont="1" applyFill="1" applyBorder="1" applyAlignment="1">
      <alignment horizontal="center" vertical="center" wrapText="1"/>
    </xf>
    <xf numFmtId="164" fontId="44" fillId="10" borderId="1" xfId="8" applyNumberFormat="1" applyFont="1" applyFill="1" applyBorder="1" applyAlignment="1">
      <alignment horizontal="center" vertical="center" wrapText="1"/>
    </xf>
    <xf numFmtId="164" fontId="57" fillId="10" borderId="8" xfId="8" applyNumberFormat="1" applyFont="1" applyFill="1" applyBorder="1" applyAlignment="1">
      <alignment horizontal="center" vertical="center"/>
    </xf>
    <xf numFmtId="164" fontId="57" fillId="10" borderId="1" xfId="8" applyNumberFormat="1" applyFont="1" applyFill="1" applyBorder="1" applyAlignment="1">
      <alignment horizontal="center" vertical="center"/>
    </xf>
    <xf numFmtId="164" fontId="44" fillId="10" borderId="33" xfId="8" applyNumberFormat="1" applyFont="1" applyFill="1" applyBorder="1" applyAlignment="1">
      <alignment horizontal="center" vertical="center" wrapText="1"/>
    </xf>
    <xf numFmtId="164" fontId="44" fillId="10" borderId="4" xfId="8" applyNumberFormat="1" applyFont="1" applyFill="1" applyBorder="1" applyAlignment="1">
      <alignment horizontal="center" vertical="center" wrapText="1"/>
    </xf>
    <xf numFmtId="164" fontId="44" fillId="10" borderId="34" xfId="8" applyNumberFormat="1" applyFont="1" applyFill="1" applyBorder="1" applyAlignment="1">
      <alignment horizontal="center" vertical="center" wrapText="1"/>
    </xf>
    <xf numFmtId="164" fontId="34" fillId="6" borderId="12" xfId="0" applyNumberFormat="1" applyFont="1" applyFill="1" applyBorder="1" applyAlignment="1">
      <alignment horizontal="center" vertical="center"/>
    </xf>
    <xf numFmtId="0" fontId="30" fillId="23" borderId="7" xfId="8" applyFont="1" applyFill="1" applyBorder="1" applyAlignment="1">
      <alignment horizontal="center" vertical="center"/>
    </xf>
    <xf numFmtId="0" fontId="30" fillId="23" borderId="33" xfId="8" applyFont="1" applyFill="1" applyBorder="1" applyAlignment="1">
      <alignment horizontal="center" vertical="center"/>
    </xf>
    <xf numFmtId="0" fontId="30" fillId="31" borderId="56" xfId="8" applyFont="1" applyFill="1" applyBorder="1" applyAlignment="1">
      <alignment horizontal="center" vertical="center"/>
    </xf>
    <xf numFmtId="164" fontId="30" fillId="10" borderId="70" xfId="8" applyNumberFormat="1" applyFont="1" applyFill="1" applyBorder="1" applyAlignment="1">
      <alignment horizontal="center" vertical="center"/>
    </xf>
    <xf numFmtId="164" fontId="30" fillId="10" borderId="56" xfId="8" applyNumberFormat="1" applyFont="1" applyFill="1" applyBorder="1" applyAlignment="1">
      <alignment horizontal="center" vertical="center"/>
    </xf>
    <xf numFmtId="164" fontId="34" fillId="22" borderId="16" xfId="0" quotePrefix="1" applyNumberFormat="1" applyFont="1" applyFill="1" applyBorder="1" applyAlignment="1">
      <alignment horizontal="center" vertical="center"/>
    </xf>
    <xf numFmtId="164" fontId="69" fillId="4" borderId="22" xfId="0" applyNumberFormat="1" applyFont="1" applyFill="1" applyBorder="1" applyAlignment="1">
      <alignment horizontal="center" vertical="center"/>
    </xf>
    <xf numFmtId="164" fontId="69" fillId="4" borderId="16" xfId="0" applyNumberFormat="1" applyFont="1" applyFill="1" applyBorder="1" applyAlignment="1">
      <alignment horizontal="center" vertical="center"/>
    </xf>
    <xf numFmtId="164" fontId="69" fillId="4" borderId="23" xfId="0" applyNumberFormat="1" applyFont="1" applyFill="1" applyBorder="1" applyAlignment="1">
      <alignment horizontal="center" vertical="center"/>
    </xf>
    <xf numFmtId="164" fontId="69" fillId="4" borderId="24" xfId="0" applyNumberFormat="1" applyFont="1" applyFill="1" applyBorder="1" applyAlignment="1">
      <alignment horizontal="center" vertical="center"/>
    </xf>
    <xf numFmtId="164" fontId="69" fillId="4" borderId="14" xfId="0" applyNumberFormat="1" applyFont="1" applyFill="1" applyBorder="1" applyAlignment="1">
      <alignment horizontal="center" vertical="center"/>
    </xf>
    <xf numFmtId="164" fontId="69" fillId="4" borderId="25" xfId="0" applyNumberFormat="1" applyFont="1" applyFill="1" applyBorder="1" applyAlignment="1">
      <alignment horizontal="center" vertical="center"/>
    </xf>
    <xf numFmtId="0" fontId="30" fillId="23" borderId="5" xfId="8" applyFont="1" applyFill="1" applyBorder="1" applyAlignment="1">
      <alignment horizontal="center" vertical="center"/>
    </xf>
    <xf numFmtId="0" fontId="30" fillId="23" borderId="6" xfId="8" applyFont="1" applyFill="1" applyBorder="1" applyAlignment="1">
      <alignment horizontal="center" vertical="center"/>
    </xf>
    <xf numFmtId="0" fontId="30" fillId="23" borderId="7" xfId="8" applyFont="1" applyFill="1" applyBorder="1" applyAlignment="1">
      <alignment horizontal="center" vertical="center" wrapText="1"/>
    </xf>
    <xf numFmtId="0" fontId="30" fillId="23" borderId="33" xfId="8" applyFont="1" applyFill="1" applyBorder="1" applyAlignment="1">
      <alignment horizontal="center" vertical="center" wrapText="1"/>
    </xf>
    <xf numFmtId="0" fontId="30" fillId="10" borderId="56" xfId="8" applyFont="1" applyFill="1" applyBorder="1" applyAlignment="1">
      <alignment horizontal="center" vertical="center"/>
    </xf>
    <xf numFmtId="0" fontId="30" fillId="10" borderId="8" xfId="8" applyFont="1" applyFill="1" applyBorder="1" applyAlignment="1">
      <alignment horizontal="center" vertical="center"/>
    </xf>
    <xf numFmtId="0" fontId="30" fillId="10" borderId="34" xfId="8" applyFont="1" applyFill="1" applyBorder="1" applyAlignment="1">
      <alignment horizontal="center" vertical="center"/>
    </xf>
    <xf numFmtId="0" fontId="30" fillId="10" borderId="7" xfId="8" applyFont="1" applyFill="1" applyBorder="1" applyAlignment="1">
      <alignment horizontal="center" vertical="center"/>
    </xf>
    <xf numFmtId="0" fontId="30" fillId="10" borderId="33" xfId="8" applyFont="1" applyFill="1" applyBorder="1" applyAlignment="1">
      <alignment horizontal="center" vertical="center"/>
    </xf>
    <xf numFmtId="164" fontId="30" fillId="10" borderId="5" xfId="0" applyNumberFormat="1" applyFont="1" applyFill="1" applyBorder="1" applyAlignment="1">
      <alignment horizontal="center" vertical="center"/>
    </xf>
    <xf numFmtId="164" fontId="30" fillId="10" borderId="6" xfId="0" applyNumberFormat="1" applyFont="1" applyFill="1" applyBorder="1" applyAlignment="1">
      <alignment horizontal="center" vertical="center"/>
    </xf>
    <xf numFmtId="164" fontId="30" fillId="30" borderId="5" xfId="0" applyNumberFormat="1" applyFont="1" applyFill="1" applyBorder="1" applyAlignment="1">
      <alignment horizontal="center" vertical="center"/>
    </xf>
    <xf numFmtId="164" fontId="30" fillId="30" borderId="6" xfId="0" applyNumberFormat="1" applyFont="1" applyFill="1" applyBorder="1" applyAlignment="1">
      <alignment horizontal="center" vertical="center"/>
    </xf>
    <xf numFmtId="164" fontId="33" fillId="10" borderId="5" xfId="8" applyNumberFormat="1" applyFont="1" applyFill="1" applyBorder="1" applyAlignment="1">
      <alignment horizontal="center" vertical="center"/>
    </xf>
    <xf numFmtId="164" fontId="33" fillId="10" borderId="3" xfId="8" applyNumberFormat="1" applyFont="1" applyFill="1" applyBorder="1" applyAlignment="1">
      <alignment horizontal="center" vertical="center"/>
    </xf>
    <xf numFmtId="0" fontId="33" fillId="10" borderId="5" xfId="8" applyFont="1" applyFill="1" applyBorder="1" applyAlignment="1">
      <alignment horizontal="center" vertical="center"/>
    </xf>
    <xf numFmtId="0" fontId="33" fillId="10" borderId="3" xfId="8" applyFont="1" applyFill="1" applyBorder="1" applyAlignment="1">
      <alignment horizontal="center" vertical="center"/>
    </xf>
    <xf numFmtId="0" fontId="33" fillId="24" borderId="7" xfId="0" applyFont="1" applyFill="1" applyBorder="1" applyAlignment="1">
      <alignment horizontal="center" vertical="center" wrapText="1"/>
    </xf>
    <xf numFmtId="0" fontId="33" fillId="24" borderId="47" xfId="0" applyFont="1" applyFill="1" applyBorder="1" applyAlignment="1">
      <alignment horizontal="center" vertical="center" wrapText="1"/>
    </xf>
    <xf numFmtId="0" fontId="33" fillId="24" borderId="10" xfId="0" applyFont="1" applyFill="1" applyBorder="1" applyAlignment="1">
      <alignment horizontal="center" vertical="center" wrapText="1"/>
    </xf>
    <xf numFmtId="0" fontId="33" fillId="24" borderId="27" xfId="0" applyFont="1" applyFill="1" applyBorder="1" applyAlignment="1">
      <alignment horizontal="center" vertical="center" wrapText="1"/>
    </xf>
    <xf numFmtId="0" fontId="33" fillId="24" borderId="33" xfId="0" applyFont="1" applyFill="1" applyBorder="1" applyAlignment="1">
      <alignment horizontal="center" vertical="center" wrapText="1"/>
    </xf>
    <xf numFmtId="0" fontId="33" fillId="24" borderId="53" xfId="0" applyFont="1" applyFill="1" applyBorder="1" applyAlignment="1">
      <alignment horizontal="center" vertical="center" wrapText="1"/>
    </xf>
    <xf numFmtId="0" fontId="34" fillId="18" borderId="17" xfId="0" applyFont="1" applyFill="1" applyBorder="1" applyAlignment="1">
      <alignment horizontal="center" vertical="center" wrapText="1"/>
    </xf>
    <xf numFmtId="0" fontId="34" fillId="18" borderId="18" xfId="0" applyFont="1" applyFill="1" applyBorder="1" applyAlignment="1">
      <alignment horizontal="center" vertical="center" wrapText="1"/>
    </xf>
    <xf numFmtId="0" fontId="34" fillId="18" borderId="19" xfId="0" applyFont="1" applyFill="1" applyBorder="1" applyAlignment="1">
      <alignment horizontal="center" vertical="center" wrapText="1"/>
    </xf>
    <xf numFmtId="0" fontId="33" fillId="10" borderId="79" xfId="0" applyFont="1" applyFill="1" applyBorder="1" applyAlignment="1">
      <alignment horizontal="center" vertical="center" wrapText="1"/>
    </xf>
    <xf numFmtId="0" fontId="33" fillId="10" borderId="41" xfId="0" applyFont="1" applyFill="1" applyBorder="1" applyAlignment="1">
      <alignment horizontal="center" vertical="center" wrapText="1"/>
    </xf>
    <xf numFmtId="0" fontId="38" fillId="8" borderId="22" xfId="0" applyFont="1" applyFill="1" applyBorder="1" applyAlignment="1">
      <alignment horizontal="center" vertical="center"/>
    </xf>
    <xf numFmtId="0" fontId="38" fillId="8" borderId="16" xfId="0" applyFont="1" applyFill="1" applyBorder="1" applyAlignment="1">
      <alignment horizontal="center" vertical="center"/>
    </xf>
    <xf numFmtId="0" fontId="38" fillId="8" borderId="23" xfId="0" applyFont="1" applyFill="1" applyBorder="1" applyAlignment="1">
      <alignment horizontal="center" vertical="center"/>
    </xf>
    <xf numFmtId="0" fontId="38" fillId="8" borderId="26" xfId="0" applyFont="1" applyFill="1" applyBorder="1" applyAlignment="1">
      <alignment horizontal="center" vertical="center"/>
    </xf>
    <xf numFmtId="0" fontId="38" fillId="8" borderId="11" xfId="0" applyFont="1" applyFill="1" applyBorder="1" applyAlignment="1">
      <alignment horizontal="center" vertical="center"/>
    </xf>
    <xf numFmtId="0" fontId="38" fillId="8" borderId="27" xfId="0" applyFont="1" applyFill="1" applyBorder="1" applyAlignment="1">
      <alignment horizontal="center" vertical="center"/>
    </xf>
    <xf numFmtId="0" fontId="38" fillId="8" borderId="24" xfId="0" applyFont="1" applyFill="1" applyBorder="1" applyAlignment="1">
      <alignment horizontal="center" vertical="center"/>
    </xf>
    <xf numFmtId="0" fontId="38" fillId="8" borderId="14" xfId="0" applyFont="1" applyFill="1" applyBorder="1" applyAlignment="1">
      <alignment horizontal="center" vertical="center"/>
    </xf>
    <xf numFmtId="0" fontId="38" fillId="8" borderId="25" xfId="0" applyFont="1" applyFill="1" applyBorder="1" applyAlignment="1">
      <alignment horizontal="center" vertical="center"/>
    </xf>
    <xf numFmtId="0" fontId="33" fillId="10" borderId="73" xfId="0" applyFont="1" applyFill="1" applyBorder="1" applyAlignment="1">
      <alignment horizontal="center" vertical="center" wrapText="1"/>
    </xf>
    <xf numFmtId="0" fontId="33" fillId="10" borderId="8" xfId="0" applyFont="1" applyFill="1" applyBorder="1" applyAlignment="1">
      <alignment horizontal="center" vertical="center" wrapText="1"/>
    </xf>
    <xf numFmtId="0" fontId="33" fillId="10" borderId="26" xfId="0" applyFont="1" applyFill="1" applyBorder="1" applyAlignment="1">
      <alignment horizontal="center" vertical="center" wrapText="1"/>
    </xf>
    <xf numFmtId="0" fontId="33" fillId="10" borderId="1" xfId="0" applyFont="1" applyFill="1" applyBorder="1" applyAlignment="1">
      <alignment horizontal="center" vertical="center" wrapText="1"/>
    </xf>
    <xf numFmtId="0" fontId="33" fillId="10" borderId="74" xfId="0" applyFont="1" applyFill="1" applyBorder="1" applyAlignment="1">
      <alignment horizontal="center" vertical="center" wrapText="1"/>
    </xf>
    <xf numFmtId="0" fontId="33" fillId="10" borderId="34" xfId="0" applyFont="1" applyFill="1" applyBorder="1" applyAlignment="1">
      <alignment horizontal="center" vertical="center" wrapText="1"/>
    </xf>
    <xf numFmtId="0" fontId="32" fillId="23" borderId="5" xfId="0" applyFont="1" applyFill="1" applyBorder="1" applyAlignment="1">
      <alignment horizontal="center" vertical="center"/>
    </xf>
    <xf numFmtId="0" fontId="32" fillId="23" borderId="6" xfId="0" applyFont="1" applyFill="1" applyBorder="1" applyAlignment="1">
      <alignment horizontal="center" vertical="center"/>
    </xf>
    <xf numFmtId="0" fontId="30" fillId="30" borderId="5" xfId="0" applyFont="1" applyFill="1" applyBorder="1" applyAlignment="1">
      <alignment horizontal="center" vertical="center" wrapText="1"/>
    </xf>
    <xf numFmtId="0" fontId="30" fillId="30" borderId="6" xfId="0" applyFont="1" applyFill="1" applyBorder="1" applyAlignment="1">
      <alignment horizontal="center" vertical="center" wrapText="1"/>
    </xf>
    <xf numFmtId="0" fontId="30" fillId="10" borderId="5" xfId="0" applyFont="1" applyFill="1" applyBorder="1" applyAlignment="1">
      <alignment horizontal="center" vertical="center"/>
    </xf>
    <xf numFmtId="0" fontId="30" fillId="10" borderId="5" xfId="0" applyFont="1" applyFill="1" applyBorder="1" applyAlignment="1">
      <alignment horizontal="center" vertical="center" wrapText="1"/>
    </xf>
    <xf numFmtId="0" fontId="30" fillId="10" borderId="3" xfId="0" applyFont="1" applyFill="1" applyBorder="1" applyAlignment="1">
      <alignment horizontal="center" vertical="center" wrapText="1"/>
    </xf>
    <xf numFmtId="0" fontId="30" fillId="10" borderId="6" xfId="0" applyFont="1" applyFill="1" applyBorder="1" applyAlignment="1">
      <alignment horizontal="center" vertical="center" wrapText="1"/>
    </xf>
    <xf numFmtId="0" fontId="32" fillId="23" borderId="3" xfId="0" applyFont="1" applyFill="1" applyBorder="1" applyAlignment="1">
      <alignment horizontal="center" vertical="center"/>
    </xf>
    <xf numFmtId="0" fontId="30" fillId="30" borderId="5" xfId="0" applyFont="1" applyFill="1" applyBorder="1" applyAlignment="1">
      <alignment horizontal="center" vertical="center"/>
    </xf>
    <xf numFmtId="0" fontId="30" fillId="30" borderId="3" xfId="0" applyFont="1" applyFill="1" applyBorder="1" applyAlignment="1">
      <alignment horizontal="center" vertical="center"/>
    </xf>
    <xf numFmtId="0" fontId="30" fillId="30" borderId="6" xfId="0" applyFont="1" applyFill="1" applyBorder="1" applyAlignment="1">
      <alignment horizontal="center" vertical="center"/>
    </xf>
    <xf numFmtId="164" fontId="33" fillId="24" borderId="47" xfId="0" applyNumberFormat="1" applyFont="1" applyFill="1" applyBorder="1" applyAlignment="1">
      <alignment horizontal="center" vertical="center"/>
    </xf>
    <xf numFmtId="164" fontId="33" fillId="24" borderId="25" xfId="0" applyNumberFormat="1" applyFont="1" applyFill="1" applyBorder="1" applyAlignment="1">
      <alignment horizontal="center" vertical="center"/>
    </xf>
    <xf numFmtId="164" fontId="34" fillId="22" borderId="22" xfId="0" applyNumberFormat="1" applyFont="1" applyFill="1" applyBorder="1" applyAlignment="1">
      <alignment horizontal="center" vertical="center"/>
    </xf>
    <xf numFmtId="164" fontId="34" fillId="22" borderId="24" xfId="0" applyNumberFormat="1" applyFont="1" applyFill="1" applyBorder="1" applyAlignment="1">
      <alignment horizontal="center" vertical="center"/>
    </xf>
    <xf numFmtId="164" fontId="33" fillId="24" borderId="10" xfId="0" applyNumberFormat="1" applyFont="1" applyFill="1" applyBorder="1" applyAlignment="1">
      <alignment horizontal="center" vertical="center"/>
    </xf>
    <xf numFmtId="164" fontId="33" fillId="24" borderId="27" xfId="0" applyNumberFormat="1" applyFont="1" applyFill="1" applyBorder="1" applyAlignment="1">
      <alignment horizontal="center" vertical="center"/>
    </xf>
    <xf numFmtId="164" fontId="33" fillId="24" borderId="33" xfId="0" applyNumberFormat="1" applyFont="1" applyFill="1" applyBorder="1" applyAlignment="1">
      <alignment horizontal="center" vertical="center"/>
    </xf>
    <xf numFmtId="164" fontId="33" fillId="24" borderId="53" xfId="0" applyNumberFormat="1" applyFont="1" applyFill="1" applyBorder="1" applyAlignment="1">
      <alignment horizontal="center" vertical="center"/>
    </xf>
    <xf numFmtId="164" fontId="38" fillId="18" borderId="17" xfId="0" applyNumberFormat="1" applyFont="1" applyFill="1" applyBorder="1" applyAlignment="1">
      <alignment horizontal="center" vertical="center"/>
    </xf>
    <xf numFmtId="164" fontId="38" fillId="18" borderId="18" xfId="0" applyNumberFormat="1" applyFont="1" applyFill="1" applyBorder="1" applyAlignment="1">
      <alignment horizontal="center" vertical="center"/>
    </xf>
    <xf numFmtId="164" fontId="38" fillId="18" borderId="19" xfId="0" applyNumberFormat="1" applyFont="1" applyFill="1" applyBorder="1" applyAlignment="1">
      <alignment horizontal="center" vertical="center"/>
    </xf>
    <xf numFmtId="164" fontId="33" fillId="10" borderId="79" xfId="0" applyNumberFormat="1" applyFont="1" applyFill="1" applyBorder="1" applyAlignment="1">
      <alignment horizontal="center" vertical="center"/>
    </xf>
    <xf numFmtId="164" fontId="33" fillId="10" borderId="41" xfId="0" applyNumberFormat="1" applyFont="1" applyFill="1" applyBorder="1" applyAlignment="1">
      <alignment horizontal="center" vertical="center"/>
    </xf>
    <xf numFmtId="164" fontId="38" fillId="8" borderId="22" xfId="0" applyNumberFormat="1" applyFont="1" applyFill="1" applyBorder="1" applyAlignment="1">
      <alignment horizontal="center" vertical="center"/>
    </xf>
    <xf numFmtId="164" fontId="38" fillId="8" borderId="16" xfId="0" applyNumberFormat="1" applyFont="1" applyFill="1" applyBorder="1" applyAlignment="1">
      <alignment horizontal="center" vertical="center"/>
    </xf>
    <xf numFmtId="164" fontId="38" fillId="8" borderId="23" xfId="0" applyNumberFormat="1" applyFont="1" applyFill="1" applyBorder="1" applyAlignment="1">
      <alignment horizontal="center" vertical="center"/>
    </xf>
    <xf numFmtId="164" fontId="38" fillId="8" borderId="26" xfId="0" applyNumberFormat="1" applyFont="1" applyFill="1" applyBorder="1" applyAlignment="1">
      <alignment horizontal="center" vertical="center"/>
    </xf>
    <xf numFmtId="164" fontId="38" fillId="8" borderId="11" xfId="0" applyNumberFormat="1" applyFont="1" applyFill="1" applyBorder="1" applyAlignment="1">
      <alignment horizontal="center" vertical="center"/>
    </xf>
    <xf numFmtId="164" fontId="38" fillId="8" borderId="27" xfId="0" applyNumberFormat="1" applyFont="1" applyFill="1" applyBorder="1" applyAlignment="1">
      <alignment horizontal="center" vertical="center"/>
    </xf>
    <xf numFmtId="164" fontId="38" fillId="8" borderId="24" xfId="0" applyNumberFormat="1" applyFont="1" applyFill="1" applyBorder="1" applyAlignment="1">
      <alignment horizontal="center" vertical="center"/>
    </xf>
    <xf numFmtId="164" fontId="38" fillId="8" borderId="14" xfId="0" applyNumberFormat="1" applyFont="1" applyFill="1" applyBorder="1" applyAlignment="1">
      <alignment horizontal="center" vertical="center"/>
    </xf>
    <xf numFmtId="164" fontId="38" fillId="8" borderId="25" xfId="0" applyNumberFormat="1" applyFont="1" applyFill="1" applyBorder="1" applyAlignment="1">
      <alignment horizontal="center" vertical="center"/>
    </xf>
    <xf numFmtId="164" fontId="30" fillId="10" borderId="73" xfId="0" applyNumberFormat="1" applyFont="1" applyFill="1" applyBorder="1" applyAlignment="1">
      <alignment horizontal="center" vertical="center"/>
    </xf>
    <xf numFmtId="164" fontId="30" fillId="10" borderId="8" xfId="0" applyNumberFormat="1" applyFont="1" applyFill="1" applyBorder="1" applyAlignment="1">
      <alignment horizontal="center" vertical="center"/>
    </xf>
    <xf numFmtId="164" fontId="30" fillId="10" borderId="26" xfId="0" applyNumberFormat="1" applyFont="1" applyFill="1" applyBorder="1" applyAlignment="1">
      <alignment horizontal="center" vertical="center"/>
    </xf>
    <xf numFmtId="164" fontId="30" fillId="10" borderId="1" xfId="0" applyNumberFormat="1" applyFont="1" applyFill="1" applyBorder="1" applyAlignment="1">
      <alignment horizontal="center" vertical="center"/>
    </xf>
    <xf numFmtId="164" fontId="30" fillId="10" borderId="74" xfId="0" applyNumberFormat="1" applyFont="1" applyFill="1" applyBorder="1" applyAlignment="1">
      <alignment horizontal="center" vertical="center"/>
    </xf>
    <xf numFmtId="164" fontId="30" fillId="10" borderId="34" xfId="0" applyNumberFormat="1" applyFont="1" applyFill="1" applyBorder="1" applyAlignment="1">
      <alignment horizontal="center" vertical="center"/>
    </xf>
    <xf numFmtId="164" fontId="19" fillId="4" borderId="16" xfId="8" applyNumberFormat="1" applyFont="1" applyFill="1" applyBorder="1" applyAlignment="1">
      <alignment horizontal="center" vertical="center"/>
    </xf>
    <xf numFmtId="164" fontId="19" fillId="4" borderId="11" xfId="8" applyNumberFormat="1" applyFont="1" applyFill="1" applyBorder="1" applyAlignment="1">
      <alignment horizontal="center" vertical="center"/>
    </xf>
    <xf numFmtId="164" fontId="19" fillId="4" borderId="17" xfId="8" applyNumberFormat="1" applyFont="1" applyFill="1" applyBorder="1" applyAlignment="1">
      <alignment horizontal="center" vertical="center"/>
    </xf>
    <xf numFmtId="164" fontId="19" fillId="4" borderId="19" xfId="8" applyNumberFormat="1" applyFont="1" applyFill="1" applyBorder="1" applyAlignment="1">
      <alignment horizontal="center" vertical="center"/>
    </xf>
    <xf numFmtId="0" fontId="67" fillId="10" borderId="80" xfId="8" applyFont="1" applyFill="1" applyBorder="1" applyAlignment="1">
      <alignment horizontal="center" vertical="center"/>
    </xf>
    <xf numFmtId="164" fontId="19" fillId="4" borderId="12" xfId="8" applyNumberFormat="1" applyFill="1" applyBorder="1" applyAlignment="1">
      <alignment horizontal="center" vertical="center"/>
    </xf>
    <xf numFmtId="164" fontId="2" fillId="4" borderId="12" xfId="8" applyNumberFormat="1" applyFont="1" applyFill="1" applyBorder="1" applyAlignment="1">
      <alignment horizontal="center" vertical="center"/>
    </xf>
    <xf numFmtId="0" fontId="19" fillId="4" borderId="12" xfId="8" applyFill="1" applyBorder="1" applyAlignment="1">
      <alignment horizontal="center" vertical="center"/>
    </xf>
    <xf numFmtId="164" fontId="30" fillId="10" borderId="7" xfId="8" applyNumberFormat="1" applyFont="1" applyFill="1" applyBorder="1" applyAlignment="1">
      <alignment horizontal="center" vertical="center"/>
    </xf>
    <xf numFmtId="164" fontId="30" fillId="10" borderId="33" xfId="8" applyNumberFormat="1" applyFont="1" applyFill="1" applyBorder="1" applyAlignment="1">
      <alignment horizontal="center" vertical="center"/>
    </xf>
    <xf numFmtId="164" fontId="19" fillId="4" borderId="14" xfId="8" applyNumberFormat="1" applyFont="1" applyFill="1" applyBorder="1" applyAlignment="1">
      <alignment horizontal="center" vertical="center"/>
    </xf>
    <xf numFmtId="164" fontId="33" fillId="10" borderId="6" xfId="8" applyNumberFormat="1" applyFont="1" applyFill="1" applyBorder="1" applyAlignment="1">
      <alignment horizontal="center" vertical="center"/>
    </xf>
    <xf numFmtId="164" fontId="49" fillId="10" borderId="5" xfId="8" applyNumberFormat="1" applyFont="1" applyFill="1" applyBorder="1" applyAlignment="1">
      <alignment horizontal="right" vertical="center" textRotation="45"/>
    </xf>
    <xf numFmtId="164" fontId="49" fillId="10" borderId="6" xfId="8" applyNumberFormat="1" applyFont="1" applyFill="1" applyBorder="1" applyAlignment="1">
      <alignment horizontal="right" vertical="center" textRotation="45"/>
    </xf>
    <xf numFmtId="164" fontId="33" fillId="10" borderId="29" xfId="8" applyNumberFormat="1" applyFont="1" applyFill="1" applyBorder="1" applyAlignment="1">
      <alignment horizontal="center" vertical="center"/>
    </xf>
    <xf numFmtId="164" fontId="33" fillId="10" borderId="46" xfId="8" applyNumberFormat="1" applyFont="1" applyFill="1" applyBorder="1" applyAlignment="1">
      <alignment horizontal="center" vertical="center"/>
    </xf>
    <xf numFmtId="164" fontId="33" fillId="10" borderId="33" xfId="8" applyNumberFormat="1" applyFont="1" applyFill="1" applyBorder="1" applyAlignment="1">
      <alignment horizontal="center" vertical="center"/>
    </xf>
    <xf numFmtId="164" fontId="33" fillId="10" borderId="34" xfId="8" applyNumberFormat="1" applyFont="1" applyFill="1" applyBorder="1" applyAlignment="1">
      <alignment horizontal="center" vertical="center"/>
    </xf>
    <xf numFmtId="164" fontId="3" fillId="4" borderId="12" xfId="8" quotePrefix="1" applyNumberFormat="1" applyFont="1" applyFill="1" applyBorder="1" applyAlignment="1">
      <alignment horizontal="center" vertical="center"/>
    </xf>
    <xf numFmtId="164" fontId="33" fillId="10" borderId="15" xfId="8" applyNumberFormat="1" applyFont="1" applyFill="1" applyBorder="1" applyAlignment="1">
      <alignment horizontal="center" vertical="center"/>
    </xf>
    <xf numFmtId="164" fontId="33" fillId="10" borderId="13" xfId="8" applyNumberFormat="1" applyFont="1" applyFill="1" applyBorder="1" applyAlignment="1">
      <alignment horizontal="center" vertical="center"/>
    </xf>
    <xf numFmtId="0" fontId="30" fillId="10" borderId="30" xfId="8" applyFont="1" applyFill="1" applyBorder="1" applyAlignment="1">
      <alignment horizontal="center" vertical="center"/>
    </xf>
    <xf numFmtId="0" fontId="30" fillId="10" borderId="21" xfId="8" applyFont="1" applyFill="1" applyBorder="1" applyAlignment="1">
      <alignment horizontal="center" vertical="center"/>
    </xf>
    <xf numFmtId="164" fontId="30" fillId="10" borderId="10" xfId="8" applyNumberFormat="1" applyFont="1" applyFill="1" applyBorder="1" applyAlignment="1">
      <alignment horizontal="center" vertical="center"/>
    </xf>
    <xf numFmtId="164" fontId="28" fillId="4" borderId="12" xfId="8" applyNumberFormat="1" applyFont="1" applyFill="1" applyBorder="1" applyAlignment="1">
      <alignment horizontal="center" vertical="center"/>
    </xf>
    <xf numFmtId="164" fontId="28" fillId="9" borderId="12" xfId="8" applyNumberFormat="1" applyFont="1" applyFill="1" applyBorder="1" applyAlignment="1">
      <alignment horizontal="center" vertical="center"/>
    </xf>
    <xf numFmtId="164" fontId="28" fillId="4" borderId="17" xfId="8" applyNumberFormat="1" applyFont="1" applyFill="1" applyBorder="1" applyAlignment="1">
      <alignment horizontal="center" vertical="center"/>
    </xf>
    <xf numFmtId="164" fontId="28" fillId="4" borderId="18" xfId="8" applyNumberFormat="1" applyFont="1" applyFill="1" applyBorder="1" applyAlignment="1">
      <alignment horizontal="center" vertical="center"/>
    </xf>
    <xf numFmtId="164" fontId="28" fillId="4" borderId="19" xfId="8" applyNumberFormat="1" applyFont="1" applyFill="1" applyBorder="1" applyAlignment="1">
      <alignment horizontal="center" vertical="center"/>
    </xf>
    <xf numFmtId="0" fontId="67" fillId="14" borderId="12" xfId="8" applyFont="1" applyFill="1" applyBorder="1" applyAlignment="1">
      <alignment horizontal="center" vertical="center"/>
    </xf>
    <xf numFmtId="164" fontId="34" fillId="18" borderId="16" xfId="0" applyNumberFormat="1" applyFont="1" applyFill="1" applyBorder="1" applyAlignment="1">
      <alignment horizontal="center" vertical="center"/>
    </xf>
    <xf numFmtId="164" fontId="34" fillId="18" borderId="23" xfId="0" applyNumberFormat="1" applyFont="1" applyFill="1" applyBorder="1" applyAlignment="1">
      <alignment horizontal="center" vertical="center"/>
    </xf>
    <xf numFmtId="164" fontId="34" fillId="18" borderId="14" xfId="0" applyNumberFormat="1" applyFont="1" applyFill="1" applyBorder="1" applyAlignment="1">
      <alignment horizontal="center" vertical="center"/>
    </xf>
    <xf numFmtId="164" fontId="34" fillId="18" borderId="25" xfId="0" applyNumberFormat="1" applyFont="1" applyFill="1" applyBorder="1" applyAlignment="1">
      <alignment horizontal="center" vertical="center"/>
    </xf>
    <xf numFmtId="0" fontId="33" fillId="10" borderId="11" xfId="0" applyFont="1" applyFill="1" applyBorder="1" applyAlignment="1">
      <alignment horizontal="center" vertical="center"/>
    </xf>
    <xf numFmtId="164" fontId="30" fillId="15" borderId="5" xfId="0" applyNumberFormat="1" applyFont="1" applyFill="1" applyBorder="1" applyAlignment="1">
      <alignment horizontal="center" vertical="center"/>
    </xf>
    <xf numFmtId="164" fontId="30" fillId="15" borderId="6" xfId="0" applyNumberFormat="1" applyFont="1" applyFill="1" applyBorder="1" applyAlignment="1">
      <alignment horizontal="center" vertical="center"/>
    </xf>
    <xf numFmtId="0" fontId="32" fillId="30" borderId="5" xfId="0" applyFont="1" applyFill="1" applyBorder="1" applyAlignment="1">
      <alignment horizontal="center" vertical="center"/>
    </xf>
    <xf numFmtId="0" fontId="32" fillId="30" borderId="6" xfId="0" applyFont="1" applyFill="1" applyBorder="1" applyAlignment="1">
      <alignment horizontal="center" vertical="center"/>
    </xf>
    <xf numFmtId="164" fontId="30" fillId="10" borderId="9" xfId="8" applyNumberFormat="1" applyFont="1" applyFill="1" applyBorder="1" applyAlignment="1">
      <alignment horizontal="center" vertical="center"/>
    </xf>
    <xf numFmtId="164" fontId="30" fillId="10" borderId="8" xfId="8" applyNumberFormat="1" applyFont="1" applyFill="1" applyBorder="1" applyAlignment="1">
      <alignment horizontal="center" vertical="center"/>
    </xf>
    <xf numFmtId="164" fontId="30" fillId="10" borderId="4" xfId="8" applyNumberFormat="1" applyFont="1" applyFill="1" applyBorder="1" applyAlignment="1">
      <alignment horizontal="center" vertical="center"/>
    </xf>
    <xf numFmtId="164" fontId="30" fillId="10" borderId="34" xfId="8" applyNumberFormat="1" applyFont="1" applyFill="1" applyBorder="1" applyAlignment="1">
      <alignment horizontal="center" vertical="center"/>
    </xf>
    <xf numFmtId="0" fontId="30" fillId="15" borderId="5" xfId="0" applyFont="1" applyFill="1" applyBorder="1" applyAlignment="1">
      <alignment horizontal="center" vertical="center"/>
    </xf>
    <xf numFmtId="0" fontId="30" fillId="15" borderId="6" xfId="0" applyFont="1" applyFill="1" applyBorder="1" applyAlignment="1">
      <alignment horizontal="center" vertical="center"/>
    </xf>
    <xf numFmtId="0" fontId="30" fillId="30" borderId="5" xfId="8" applyFont="1" applyFill="1" applyBorder="1" applyAlignment="1">
      <alignment horizontal="center" vertical="center"/>
    </xf>
    <xf numFmtId="0" fontId="30" fillId="30" borderId="6" xfId="8" applyFont="1" applyFill="1" applyBorder="1" applyAlignment="1">
      <alignment horizontal="center" vertical="center"/>
    </xf>
    <xf numFmtId="0" fontId="30" fillId="10" borderId="7" xfId="8" applyFont="1" applyFill="1" applyBorder="1" applyAlignment="1">
      <alignment horizontal="center" vertical="center" wrapText="1"/>
    </xf>
    <xf numFmtId="0" fontId="30" fillId="10" borderId="33" xfId="8" applyFont="1" applyFill="1" applyBorder="1" applyAlignment="1">
      <alignment horizontal="center" vertical="center" wrapText="1"/>
    </xf>
    <xf numFmtId="164" fontId="34" fillId="18" borderId="22" xfId="0" applyNumberFormat="1" applyFont="1" applyFill="1" applyBorder="1" applyAlignment="1">
      <alignment horizontal="center" vertical="center"/>
    </xf>
    <xf numFmtId="164" fontId="34" fillId="18" borderId="24" xfId="0" applyNumberFormat="1" applyFont="1" applyFill="1" applyBorder="1" applyAlignment="1">
      <alignment horizontal="center" vertical="center"/>
    </xf>
    <xf numFmtId="164" fontId="30" fillId="10" borderId="11" xfId="8" applyNumberFormat="1" applyFont="1" applyFill="1" applyBorder="1" applyAlignment="1">
      <alignment horizontal="center" vertical="center"/>
    </xf>
    <xf numFmtId="0" fontId="30" fillId="30" borderId="7" xfId="8" applyFont="1" applyFill="1" applyBorder="1" applyAlignment="1">
      <alignment horizontal="center" vertical="center"/>
    </xf>
    <xf numFmtId="0" fontId="30" fillId="30" borderId="33" xfId="8" applyFont="1" applyFill="1" applyBorder="1" applyAlignment="1">
      <alignment horizontal="center" vertical="center"/>
    </xf>
    <xf numFmtId="0" fontId="30" fillId="10" borderId="5" xfId="8" applyFont="1" applyFill="1" applyBorder="1" applyAlignment="1">
      <alignment horizontal="center" vertical="center" wrapText="1"/>
    </xf>
    <xf numFmtId="0" fontId="30" fillId="10" borderId="6" xfId="8" applyFont="1" applyFill="1" applyBorder="1" applyAlignment="1">
      <alignment horizontal="center" vertical="center" wrapText="1"/>
    </xf>
    <xf numFmtId="0" fontId="38" fillId="18" borderId="17" xfId="0" applyFont="1" applyFill="1" applyBorder="1" applyAlignment="1">
      <alignment horizontal="center" vertical="center" wrapText="1"/>
    </xf>
    <xf numFmtId="0" fontId="38" fillId="18" borderId="18" xfId="0" applyFont="1" applyFill="1" applyBorder="1" applyAlignment="1">
      <alignment horizontal="center" vertical="center" wrapText="1"/>
    </xf>
    <xf numFmtId="0" fontId="38" fillId="18" borderId="19" xfId="0" applyFont="1" applyFill="1" applyBorder="1" applyAlignment="1">
      <alignment horizontal="center" vertical="center" wrapText="1"/>
    </xf>
    <xf numFmtId="0" fontId="30" fillId="15" borderId="5" xfId="0" applyFont="1" applyFill="1" applyBorder="1" applyAlignment="1">
      <alignment horizontal="center" vertical="center" wrapText="1"/>
    </xf>
    <xf numFmtId="0" fontId="30" fillId="15" borderId="6" xfId="0" applyFont="1" applyFill="1" applyBorder="1" applyAlignment="1">
      <alignment horizontal="center" vertical="center" wrapText="1"/>
    </xf>
    <xf numFmtId="164" fontId="19" fillId="4" borderId="26" xfId="8" applyNumberFormat="1" applyFont="1" applyFill="1" applyBorder="1" applyAlignment="1">
      <alignment horizontal="left" vertical="top"/>
    </xf>
    <xf numFmtId="164" fontId="19" fillId="4" borderId="27" xfId="8" applyNumberFormat="1" applyFont="1" applyFill="1" applyBorder="1" applyAlignment="1">
      <alignment horizontal="left" vertical="top"/>
    </xf>
    <xf numFmtId="164" fontId="19" fillId="4" borderId="24" xfId="8" applyNumberFormat="1" applyFont="1" applyFill="1" applyBorder="1" applyAlignment="1">
      <alignment horizontal="left" vertical="top"/>
    </xf>
    <xf numFmtId="164" fontId="19" fillId="4" borderId="25" xfId="8" applyNumberFormat="1" applyFont="1" applyFill="1" applyBorder="1" applyAlignment="1">
      <alignment horizontal="left" vertical="top"/>
    </xf>
    <xf numFmtId="164" fontId="34" fillId="6" borderId="22" xfId="8" applyNumberFormat="1" applyFont="1" applyFill="1" applyBorder="1" applyAlignment="1">
      <alignment horizontal="center" vertical="center"/>
    </xf>
    <xf numFmtId="164" fontId="34" fillId="6" borderId="16" xfId="8" applyNumberFormat="1" applyFont="1" applyFill="1" applyBorder="1" applyAlignment="1">
      <alignment horizontal="center" vertical="center"/>
    </xf>
    <xf numFmtId="164" fontId="34" fillId="6" borderId="23" xfId="8" applyNumberFormat="1" applyFont="1" applyFill="1" applyBorder="1" applyAlignment="1">
      <alignment horizontal="center" vertical="center"/>
    </xf>
    <xf numFmtId="164" fontId="34" fillId="6" borderId="24" xfId="8" applyNumberFormat="1" applyFont="1" applyFill="1" applyBorder="1" applyAlignment="1">
      <alignment horizontal="center" vertical="center"/>
    </xf>
    <xf numFmtId="164" fontId="34" fillId="6" borderId="14" xfId="8" applyNumberFormat="1" applyFont="1" applyFill="1" applyBorder="1" applyAlignment="1">
      <alignment horizontal="center" vertical="center"/>
    </xf>
    <xf numFmtId="164" fontId="34" fillId="6" borderId="25" xfId="8" applyNumberFormat="1" applyFont="1" applyFill="1" applyBorder="1" applyAlignment="1">
      <alignment horizontal="center" vertical="center"/>
    </xf>
    <xf numFmtId="164" fontId="19" fillId="4" borderId="22" xfId="8" applyNumberFormat="1" applyFont="1" applyFill="1" applyBorder="1" applyAlignment="1">
      <alignment horizontal="left" vertical="top"/>
    </xf>
    <xf numFmtId="164" fontId="19" fillId="4" borderId="23" xfId="8" applyNumberFormat="1" applyFont="1" applyFill="1" applyBorder="1" applyAlignment="1">
      <alignment horizontal="left" vertical="top"/>
    </xf>
    <xf numFmtId="0" fontId="33" fillId="10" borderId="7" xfId="8" applyFont="1" applyFill="1" applyBorder="1" applyAlignment="1">
      <alignment horizontal="center" vertical="center"/>
    </xf>
    <xf numFmtId="0" fontId="33" fillId="10" borderId="9" xfId="8" applyFont="1" applyFill="1" applyBorder="1" applyAlignment="1">
      <alignment horizontal="center" vertical="center"/>
    </xf>
    <xf numFmtId="0" fontId="33" fillId="10" borderId="8" xfId="8" applyFont="1" applyFill="1" applyBorder="1" applyAlignment="1">
      <alignment horizontal="center" vertical="center"/>
    </xf>
    <xf numFmtId="0" fontId="33" fillId="10" borderId="33" xfId="8" applyFont="1" applyFill="1" applyBorder="1" applyAlignment="1">
      <alignment horizontal="center" vertical="center"/>
    </xf>
    <xf numFmtId="0" fontId="33" fillId="10" borderId="4" xfId="8" applyFont="1" applyFill="1" applyBorder="1" applyAlignment="1">
      <alignment horizontal="center" vertical="center"/>
    </xf>
    <xf numFmtId="0" fontId="33" fillId="10" borderId="34" xfId="8" applyFont="1" applyFill="1" applyBorder="1" applyAlignment="1">
      <alignment horizontal="center" vertical="center"/>
    </xf>
    <xf numFmtId="164" fontId="30" fillId="10" borderId="62" xfId="8" applyNumberFormat="1" applyFont="1" applyFill="1" applyBorder="1" applyAlignment="1">
      <alignment horizontal="center" vertical="center"/>
    </xf>
    <xf numFmtId="164" fontId="30" fillId="10" borderId="71" xfId="8" applyNumberFormat="1" applyFont="1" applyFill="1" applyBorder="1" applyAlignment="1">
      <alignment horizontal="center" vertical="center"/>
    </xf>
    <xf numFmtId="164" fontId="64" fillId="26" borderId="65" xfId="8" applyNumberFormat="1" applyFont="1" applyFill="1" applyBorder="1" applyAlignment="1">
      <alignment horizontal="center" vertical="center"/>
    </xf>
    <xf numFmtId="0" fontId="64" fillId="26" borderId="60" xfId="8" applyFont="1" applyFill="1" applyBorder="1" applyAlignment="1">
      <alignment horizontal="center" vertical="center"/>
    </xf>
    <xf numFmtId="164" fontId="64" fillId="26" borderId="63" xfId="8" applyNumberFormat="1" applyFont="1" applyFill="1" applyBorder="1" applyAlignment="1">
      <alignment horizontal="center" vertical="center"/>
    </xf>
    <xf numFmtId="0" fontId="64" fillId="26" borderId="57" xfId="8" applyFont="1" applyFill="1" applyBorder="1" applyAlignment="1">
      <alignment horizontal="center" vertical="center"/>
    </xf>
    <xf numFmtId="164" fontId="64" fillId="26" borderId="66" xfId="8" applyNumberFormat="1" applyFont="1" applyFill="1" applyBorder="1" applyAlignment="1">
      <alignment horizontal="center" vertical="center"/>
    </xf>
    <xf numFmtId="0" fontId="64" fillId="26" borderId="61" xfId="8" applyFont="1" applyFill="1" applyBorder="1" applyAlignment="1">
      <alignment horizontal="center" vertical="center"/>
    </xf>
    <xf numFmtId="164" fontId="28" fillId="8" borderId="12" xfId="8" applyNumberFormat="1" applyFont="1" applyFill="1" applyBorder="1" applyAlignment="1">
      <alignment horizontal="center" vertical="center"/>
    </xf>
    <xf numFmtId="164" fontId="28" fillId="6" borderId="12" xfId="8" applyNumberFormat="1" applyFont="1" applyFill="1" applyBorder="1" applyAlignment="1">
      <alignment horizontal="center" vertical="center"/>
    </xf>
    <xf numFmtId="0" fontId="30" fillId="10" borderId="3" xfId="8" applyFont="1" applyFill="1" applyBorder="1" applyAlignment="1">
      <alignment horizontal="center" vertical="center" wrapText="1"/>
    </xf>
    <xf numFmtId="164" fontId="30" fillId="23" borderId="5" xfId="8" applyNumberFormat="1" applyFont="1" applyFill="1" applyBorder="1" applyAlignment="1">
      <alignment horizontal="center" vertical="center"/>
    </xf>
    <xf numFmtId="164" fontId="30" fillId="23" borderId="6" xfId="8" applyNumberFormat="1" applyFont="1" applyFill="1" applyBorder="1" applyAlignment="1">
      <alignment horizontal="center" vertical="center"/>
    </xf>
    <xf numFmtId="164" fontId="41" fillId="21" borderId="17" xfId="8" applyNumberFormat="1" applyFont="1" applyFill="1" applyBorder="1" applyAlignment="1">
      <alignment horizontal="center" vertical="center"/>
    </xf>
    <xf numFmtId="164" fontId="41" fillId="21" borderId="19" xfId="8" applyNumberFormat="1" applyFont="1" applyFill="1" applyBorder="1" applyAlignment="1">
      <alignment horizontal="center" vertical="center"/>
    </xf>
    <xf numFmtId="164" fontId="41" fillId="12" borderId="17" xfId="8" applyNumberFormat="1" applyFont="1" applyFill="1" applyBorder="1" applyAlignment="1">
      <alignment horizontal="center" vertical="center"/>
    </xf>
    <xf numFmtId="164" fontId="41" fillId="12" borderId="19" xfId="8" applyNumberFormat="1" applyFont="1" applyFill="1" applyBorder="1" applyAlignment="1">
      <alignment horizontal="center" vertical="center"/>
    </xf>
    <xf numFmtId="0" fontId="30" fillId="10" borderId="3" xfId="8" applyFont="1" applyFill="1" applyBorder="1" applyAlignment="1">
      <alignment horizontal="center" vertical="center"/>
    </xf>
    <xf numFmtId="164" fontId="28" fillId="6" borderId="17" xfId="8" applyNumberFormat="1" applyFont="1" applyFill="1" applyBorder="1" applyAlignment="1">
      <alignment horizontal="center" vertical="center"/>
    </xf>
    <xf numFmtId="164" fontId="28" fillId="6" borderId="19" xfId="8" applyNumberFormat="1" applyFont="1" applyFill="1" applyBorder="1" applyAlignment="1">
      <alignment horizontal="center" vertical="center"/>
    </xf>
    <xf numFmtId="0" fontId="30" fillId="23" borderId="3" xfId="8" applyFont="1" applyFill="1" applyBorder="1" applyAlignment="1">
      <alignment horizontal="center" vertical="center"/>
    </xf>
    <xf numFmtId="164" fontId="41" fillId="25" borderId="12" xfId="8" applyNumberFormat="1" applyFont="1" applyFill="1" applyBorder="1" applyAlignment="1">
      <alignment horizontal="center" vertical="center"/>
    </xf>
    <xf numFmtId="164" fontId="28" fillId="25" borderId="20" xfId="8" applyNumberFormat="1" applyFont="1" applyFill="1" applyBorder="1" applyAlignment="1">
      <alignment horizontal="center" vertical="center"/>
    </xf>
    <xf numFmtId="164" fontId="30" fillId="23" borderId="3" xfId="8" applyNumberFormat="1" applyFont="1" applyFill="1" applyBorder="1" applyAlignment="1">
      <alignment horizontal="center" vertical="top"/>
    </xf>
    <xf numFmtId="164" fontId="30" fillId="23" borderId="6" xfId="8" applyNumberFormat="1" applyFont="1" applyFill="1" applyBorder="1" applyAlignment="1">
      <alignment horizontal="center" vertical="top"/>
    </xf>
    <xf numFmtId="164" fontId="28" fillId="20" borderId="22" xfId="8" applyNumberFormat="1" applyFont="1" applyFill="1" applyBorder="1" applyAlignment="1">
      <alignment horizontal="center" vertical="center"/>
    </xf>
    <xf numFmtId="164" fontId="28" fillId="20" borderId="23" xfId="8" applyNumberFormat="1" applyFont="1" applyFill="1" applyBorder="1" applyAlignment="1">
      <alignment horizontal="center" vertical="center"/>
    </xf>
    <xf numFmtId="164" fontId="28" fillId="20" borderId="24" xfId="8" applyNumberFormat="1" applyFont="1" applyFill="1" applyBorder="1" applyAlignment="1">
      <alignment horizontal="center" vertical="center"/>
    </xf>
    <xf numFmtId="164" fontId="28" fillId="20" borderId="25" xfId="8" applyNumberFormat="1" applyFont="1" applyFill="1" applyBorder="1" applyAlignment="1">
      <alignment horizontal="center" vertical="center"/>
    </xf>
    <xf numFmtId="0" fontId="28" fillId="21" borderId="17" xfId="8" applyFont="1" applyFill="1" applyBorder="1" applyAlignment="1">
      <alignment horizontal="center" vertical="center"/>
    </xf>
    <xf numFmtId="0" fontId="28" fillId="21" borderId="19" xfId="8" applyFont="1" applyFill="1" applyBorder="1" applyAlignment="1">
      <alignment horizontal="center" vertical="center"/>
    </xf>
    <xf numFmtId="0" fontId="28" fillId="12" borderId="17" xfId="8" applyFont="1" applyFill="1" applyBorder="1" applyAlignment="1">
      <alignment horizontal="center" vertical="center"/>
    </xf>
    <xf numFmtId="0" fontId="28" fillId="12" borderId="19" xfId="8" applyFont="1" applyFill="1" applyBorder="1" applyAlignment="1">
      <alignment horizontal="center" vertical="center"/>
    </xf>
    <xf numFmtId="164" fontId="41" fillId="13" borderId="17" xfId="8" applyNumberFormat="1" applyFont="1" applyFill="1" applyBorder="1" applyAlignment="1">
      <alignment horizontal="center" vertical="center"/>
    </xf>
    <xf numFmtId="164" fontId="41" fillId="13" borderId="19" xfId="8" applyNumberFormat="1" applyFont="1" applyFill="1" applyBorder="1" applyAlignment="1">
      <alignment horizontal="center" vertical="center"/>
    </xf>
    <xf numFmtId="0" fontId="28" fillId="13" borderId="17" xfId="8" applyFont="1" applyFill="1" applyBorder="1" applyAlignment="1">
      <alignment horizontal="center" vertical="center"/>
    </xf>
    <xf numFmtId="0" fontId="28" fillId="13" borderId="19" xfId="8" applyFont="1" applyFill="1" applyBorder="1" applyAlignment="1">
      <alignment horizontal="center" vertical="center"/>
    </xf>
    <xf numFmtId="164" fontId="33" fillId="10" borderId="38" xfId="8" applyNumberFormat="1" applyFont="1" applyFill="1" applyBorder="1" applyAlignment="1">
      <alignment horizontal="center" vertical="center"/>
    </xf>
    <xf numFmtId="164" fontId="33" fillId="10" borderId="28" xfId="8" applyNumberFormat="1" applyFont="1" applyFill="1" applyBorder="1" applyAlignment="1">
      <alignment horizontal="center" vertical="center"/>
    </xf>
    <xf numFmtId="164" fontId="33" fillId="10" borderId="70" xfId="8" applyNumberFormat="1" applyFont="1" applyFill="1" applyBorder="1" applyAlignment="1">
      <alignment horizontal="center" vertical="center"/>
    </xf>
    <xf numFmtId="0" fontId="19" fillId="10" borderId="7" xfId="8" applyFill="1" applyBorder="1" applyAlignment="1">
      <alignment horizontal="center" vertical="center"/>
    </xf>
    <xf numFmtId="0" fontId="19" fillId="10" borderId="10" xfId="8" applyFill="1" applyBorder="1" applyAlignment="1">
      <alignment horizontal="center" vertical="center"/>
    </xf>
    <xf numFmtId="0" fontId="19" fillId="10" borderId="33" xfId="8" applyFill="1" applyBorder="1" applyAlignment="1">
      <alignment horizontal="center" vertical="center"/>
    </xf>
    <xf numFmtId="164" fontId="40" fillId="7" borderId="9" xfId="8" applyNumberFormat="1" applyFont="1" applyFill="1" applyBorder="1" applyAlignment="1">
      <alignment horizontal="center" vertical="center"/>
    </xf>
    <xf numFmtId="164" fontId="40" fillId="7" borderId="11" xfId="8" applyNumberFormat="1" applyFont="1" applyFill="1" applyBorder="1" applyAlignment="1">
      <alignment horizontal="center" vertical="center"/>
    </xf>
    <xf numFmtId="164" fontId="40" fillId="7" borderId="4" xfId="8" applyNumberFormat="1" applyFont="1" applyFill="1" applyBorder="1" applyAlignment="1">
      <alignment horizontal="center" vertical="center"/>
    </xf>
    <xf numFmtId="0" fontId="19" fillId="10" borderId="8" xfId="8" applyFill="1" applyBorder="1" applyAlignment="1">
      <alignment horizontal="center" vertical="center"/>
    </xf>
    <xf numFmtId="0" fontId="19" fillId="10" borderId="1" xfId="8" applyFill="1" applyBorder="1" applyAlignment="1">
      <alignment horizontal="center" vertical="center"/>
    </xf>
    <xf numFmtId="0" fontId="19" fillId="10" borderId="34" xfId="8" applyFill="1" applyBorder="1" applyAlignment="1">
      <alignment horizontal="center" vertical="center"/>
    </xf>
    <xf numFmtId="164" fontId="33" fillId="15" borderId="38" xfId="8" applyNumberFormat="1" applyFont="1" applyFill="1" applyBorder="1" applyAlignment="1">
      <alignment horizontal="center" vertical="center"/>
    </xf>
    <xf numFmtId="164" fontId="33" fillId="15" borderId="28" xfId="8" applyNumberFormat="1" applyFont="1" applyFill="1" applyBorder="1" applyAlignment="1">
      <alignment horizontal="center" vertical="center"/>
    </xf>
    <xf numFmtId="164" fontId="33" fillId="15" borderId="70" xfId="8" applyNumberFormat="1" applyFont="1" applyFill="1" applyBorder="1" applyAlignment="1">
      <alignment horizontal="center" vertical="center"/>
    </xf>
    <xf numFmtId="164" fontId="33" fillId="15" borderId="62" xfId="8" applyNumberFormat="1" applyFont="1" applyFill="1" applyBorder="1" applyAlignment="1">
      <alignment horizontal="center" vertical="center"/>
    </xf>
    <xf numFmtId="164" fontId="33" fillId="15" borderId="49" xfId="8" applyNumberFormat="1" applyFont="1" applyFill="1" applyBorder="1" applyAlignment="1">
      <alignment horizontal="center" vertical="center"/>
    </xf>
    <xf numFmtId="164" fontId="33" fillId="15" borderId="71" xfId="8" applyNumberFormat="1" applyFont="1" applyFill="1" applyBorder="1" applyAlignment="1">
      <alignment horizontal="center" vertical="center"/>
    </xf>
    <xf numFmtId="164" fontId="39" fillId="13" borderId="22" xfId="8" applyNumberFormat="1" applyFont="1" applyFill="1" applyBorder="1" applyAlignment="1">
      <alignment horizontal="center" vertical="center"/>
    </xf>
    <xf numFmtId="164" fontId="39" fillId="13" borderId="16" xfId="8" applyNumberFormat="1" applyFont="1" applyFill="1" applyBorder="1" applyAlignment="1">
      <alignment horizontal="center" vertical="center"/>
    </xf>
    <xf numFmtId="164" fontId="39" fillId="13" borderId="23" xfId="8" applyNumberFormat="1" applyFont="1" applyFill="1" applyBorder="1" applyAlignment="1">
      <alignment horizontal="center" vertical="center"/>
    </xf>
    <xf numFmtId="164" fontId="39" fillId="13" borderId="24" xfId="8" applyNumberFormat="1" applyFont="1" applyFill="1" applyBorder="1" applyAlignment="1">
      <alignment horizontal="center" vertical="center"/>
    </xf>
    <xf numFmtId="164" fontId="39" fillId="13" borderId="14" xfId="8" applyNumberFormat="1" applyFont="1" applyFill="1" applyBorder="1" applyAlignment="1">
      <alignment horizontal="center" vertical="center"/>
    </xf>
    <xf numFmtId="164" fontId="39" fillId="13" borderId="25" xfId="8" applyNumberFormat="1" applyFont="1" applyFill="1" applyBorder="1" applyAlignment="1">
      <alignment horizontal="center" vertical="center"/>
    </xf>
    <xf numFmtId="164" fontId="31" fillId="10" borderId="11" xfId="8" applyNumberFormat="1" applyFont="1" applyFill="1" applyAlignment="1">
      <alignment horizontal="center" vertical="center"/>
    </xf>
    <xf numFmtId="164" fontId="30" fillId="10" borderId="29" xfId="8" applyNumberFormat="1" applyFont="1" applyFill="1" applyBorder="1" applyAlignment="1">
      <alignment horizontal="center" vertical="center"/>
    </xf>
    <xf numFmtId="164" fontId="30" fillId="10" borderId="46" xfId="8" applyNumberFormat="1" applyFont="1" applyFill="1" applyBorder="1" applyAlignment="1">
      <alignment horizontal="center" vertical="center"/>
    </xf>
    <xf numFmtId="164" fontId="30" fillId="10" borderId="15" xfId="8" applyNumberFormat="1" applyFont="1" applyFill="1" applyBorder="1" applyAlignment="1">
      <alignment horizontal="center" vertical="center"/>
    </xf>
    <xf numFmtId="164" fontId="19" fillId="4" borderId="24" xfId="8" applyNumberFormat="1" applyFill="1" applyBorder="1" applyAlignment="1">
      <alignment horizontal="left" vertical="center"/>
    </xf>
    <xf numFmtId="164" fontId="19" fillId="4" borderId="25" xfId="8" applyNumberFormat="1" applyFill="1" applyBorder="1" applyAlignment="1">
      <alignment horizontal="left" vertical="center"/>
    </xf>
    <xf numFmtId="164" fontId="19" fillId="4" borderId="24" xfId="8" applyNumberFormat="1" applyFill="1" applyBorder="1" applyAlignment="1">
      <alignment horizontal="center"/>
    </xf>
    <xf numFmtId="164" fontId="19" fillId="4" borderId="25" xfId="8" applyNumberFormat="1" applyFill="1" applyBorder="1" applyAlignment="1">
      <alignment horizontal="center"/>
    </xf>
    <xf numFmtId="164" fontId="30" fillId="10" borderId="63" xfId="8" applyNumberFormat="1" applyFont="1" applyFill="1" applyBorder="1" applyAlignment="1">
      <alignment horizontal="center" vertical="center"/>
    </xf>
    <xf numFmtId="164" fontId="30" fillId="10" borderId="57" xfId="8" applyNumberFormat="1" applyFont="1" applyFill="1" applyBorder="1" applyAlignment="1">
      <alignment horizontal="center" vertical="center"/>
    </xf>
    <xf numFmtId="164" fontId="30" fillId="23" borderId="3" xfId="8" applyNumberFormat="1" applyFont="1" applyFill="1" applyBorder="1" applyAlignment="1">
      <alignment horizontal="center" vertical="center"/>
    </xf>
    <xf numFmtId="0" fontId="19" fillId="4" borderId="24" xfId="8" applyFill="1" applyBorder="1" applyAlignment="1">
      <alignment horizontal="left" vertical="center"/>
    </xf>
    <xf numFmtId="0" fontId="19" fillId="4" borderId="25" xfId="8" applyFill="1" applyBorder="1" applyAlignment="1">
      <alignment horizontal="left" vertical="center"/>
    </xf>
    <xf numFmtId="164" fontId="15" fillId="4" borderId="22" xfId="8" applyNumberFormat="1" applyFont="1" applyFill="1" applyBorder="1" applyAlignment="1">
      <alignment horizontal="left" vertical="center"/>
    </xf>
    <xf numFmtId="164" fontId="19" fillId="4" borderId="23" xfId="8" applyNumberFormat="1" applyFill="1" applyBorder="1" applyAlignment="1">
      <alignment horizontal="left" vertical="center"/>
    </xf>
    <xf numFmtId="164" fontId="19" fillId="4" borderId="22" xfId="8" applyNumberFormat="1" applyFill="1" applyBorder="1" applyAlignment="1">
      <alignment horizontal="center"/>
    </xf>
    <xf numFmtId="164" fontId="19" fillId="4" borderId="23" xfId="8" applyNumberFormat="1" applyFill="1" applyBorder="1" applyAlignment="1">
      <alignment horizontal="center"/>
    </xf>
    <xf numFmtId="164" fontId="10" fillId="4" borderId="26" xfId="8" applyNumberFormat="1" applyFont="1" applyFill="1" applyBorder="1" applyAlignment="1">
      <alignment horizontal="left" vertical="center"/>
    </xf>
    <xf numFmtId="164" fontId="19" fillId="4" borderId="27" xfId="8" applyNumberFormat="1" applyFill="1" applyBorder="1" applyAlignment="1">
      <alignment horizontal="left" vertical="center"/>
    </xf>
    <xf numFmtId="164" fontId="19" fillId="4" borderId="26" xfId="8" applyNumberFormat="1" applyFill="1" applyBorder="1" applyAlignment="1">
      <alignment horizontal="center"/>
    </xf>
    <xf numFmtId="164" fontId="19" fillId="4" borderId="27" xfId="8" applyNumberFormat="1" applyFill="1" applyBorder="1" applyAlignment="1">
      <alignment horizontal="center"/>
    </xf>
    <xf numFmtId="164" fontId="13" fillId="4" borderId="26" xfId="8" applyNumberFormat="1" applyFont="1" applyFill="1" applyBorder="1" applyAlignment="1">
      <alignment horizontal="left" vertical="center"/>
    </xf>
    <xf numFmtId="164" fontId="34" fillId="13" borderId="22" xfId="8" applyNumberFormat="1" applyFont="1" applyFill="1" applyBorder="1" applyAlignment="1">
      <alignment horizontal="center" vertical="center"/>
    </xf>
    <xf numFmtId="164" fontId="34" fillId="13" borderId="16" xfId="8" applyNumberFormat="1" applyFont="1" applyFill="1" applyBorder="1" applyAlignment="1">
      <alignment horizontal="center" vertical="center"/>
    </xf>
    <xf numFmtId="164" fontId="34" fillId="13" borderId="23" xfId="8" applyNumberFormat="1" applyFont="1" applyFill="1" applyBorder="1" applyAlignment="1">
      <alignment horizontal="center" vertical="center"/>
    </xf>
    <xf numFmtId="164" fontId="34" fillId="13" borderId="24" xfId="8" applyNumberFormat="1" applyFont="1" applyFill="1" applyBorder="1" applyAlignment="1">
      <alignment horizontal="center" vertical="center"/>
    </xf>
    <xf numFmtId="164" fontId="34" fillId="13" borderId="14" xfId="8" applyNumberFormat="1" applyFont="1" applyFill="1" applyBorder="1" applyAlignment="1">
      <alignment horizontal="center" vertical="center"/>
    </xf>
    <xf numFmtId="164" fontId="34" fillId="13" borderId="25" xfId="8" applyNumberFormat="1" applyFont="1" applyFill="1" applyBorder="1" applyAlignment="1">
      <alignment horizontal="center" vertical="center"/>
    </xf>
    <xf numFmtId="0" fontId="19" fillId="4" borderId="26" xfId="8" applyFill="1" applyBorder="1" applyAlignment="1">
      <alignment horizontal="left" vertical="center"/>
    </xf>
    <xf numFmtId="0" fontId="19" fillId="4" borderId="27" xfId="8" applyFill="1" applyBorder="1" applyAlignment="1">
      <alignment horizontal="left" vertical="center"/>
    </xf>
    <xf numFmtId="164" fontId="19" fillId="4" borderId="26" xfId="8" applyNumberFormat="1" applyFill="1" applyBorder="1" applyAlignment="1">
      <alignment horizontal="center" vertical="center"/>
    </xf>
    <xf numFmtId="164" fontId="19" fillId="4" borderId="27" xfId="8" applyNumberFormat="1" applyFill="1" applyBorder="1" applyAlignment="1">
      <alignment horizontal="center" vertical="center"/>
    </xf>
    <xf numFmtId="164" fontId="30" fillId="10" borderId="11" xfId="4" applyNumberFormat="1" applyFont="1" applyFill="1" applyBorder="1" applyAlignment="1">
      <alignment horizontal="center" vertical="center"/>
    </xf>
    <xf numFmtId="164" fontId="30" fillId="10" borderId="10" xfId="8" applyNumberFormat="1" applyFont="1" applyFill="1" applyBorder="1" applyAlignment="1">
      <alignment horizontal="center" vertical="center" wrapText="1"/>
    </xf>
    <xf numFmtId="164" fontId="30" fillId="24" borderId="19" xfId="8" applyNumberFormat="1" applyFont="1" applyFill="1" applyBorder="1" applyAlignment="1">
      <alignment horizontal="center" vertical="center"/>
    </xf>
    <xf numFmtId="164" fontId="30" fillId="24" borderId="17" xfId="8" applyNumberFormat="1" applyFont="1" applyFill="1" applyBorder="1" applyAlignment="1">
      <alignment horizontal="center" vertical="center"/>
    </xf>
    <xf numFmtId="164" fontId="41" fillId="18" borderId="19" xfId="8" applyNumberFormat="1" applyFont="1" applyFill="1" applyBorder="1" applyAlignment="1">
      <alignment horizontal="center" vertical="center"/>
    </xf>
    <xf numFmtId="164" fontId="41" fillId="18" borderId="12" xfId="8" applyNumberFormat="1" applyFont="1" applyFill="1" applyBorder="1" applyAlignment="1">
      <alignment horizontal="center" vertical="center"/>
    </xf>
    <xf numFmtId="164" fontId="19" fillId="4" borderId="24" xfId="8" applyNumberFormat="1" applyFill="1" applyBorder="1" applyAlignment="1">
      <alignment horizontal="center" vertical="center"/>
    </xf>
    <xf numFmtId="164" fontId="19" fillId="4" borderId="25" xfId="8" applyNumberFormat="1" applyFill="1" applyBorder="1" applyAlignment="1">
      <alignment horizontal="center" vertical="center"/>
    </xf>
    <xf numFmtId="0" fontId="19" fillId="4" borderId="22" xfId="8" applyFill="1" applyBorder="1" applyAlignment="1">
      <alignment horizontal="left" vertical="center"/>
    </xf>
    <xf numFmtId="0" fontId="19" fillId="4" borderId="23" xfId="8" applyFill="1" applyBorder="1" applyAlignment="1">
      <alignment horizontal="left" vertical="center"/>
    </xf>
    <xf numFmtId="164" fontId="19" fillId="4" borderId="22" xfId="8" applyNumberFormat="1" applyFill="1" applyBorder="1" applyAlignment="1">
      <alignment horizontal="center" vertical="center"/>
    </xf>
    <xf numFmtId="164" fontId="19" fillId="4" borderId="23" xfId="8" applyNumberFormat="1" applyFill="1" applyBorder="1" applyAlignment="1">
      <alignment horizontal="center" vertical="center"/>
    </xf>
    <xf numFmtId="0" fontId="38" fillId="8" borderId="17" xfId="8" applyFont="1" applyFill="1" applyBorder="1" applyAlignment="1">
      <alignment horizontal="center" vertical="center"/>
    </xf>
    <xf numFmtId="0" fontId="38" fillId="8" borderId="18" xfId="8" applyFont="1" applyFill="1" applyBorder="1" applyAlignment="1">
      <alignment horizontal="center" vertical="center"/>
    </xf>
    <xf numFmtId="0" fontId="38" fillId="8" borderId="19" xfId="8" applyFont="1" applyFill="1" applyBorder="1" applyAlignment="1">
      <alignment horizontal="center" vertical="center"/>
    </xf>
    <xf numFmtId="0" fontId="38" fillId="8" borderId="22" xfId="8" applyFont="1" applyFill="1" applyBorder="1" applyAlignment="1">
      <alignment horizontal="center" vertical="center"/>
    </xf>
    <xf numFmtId="0" fontId="38" fillId="8" borderId="16" xfId="8" applyFont="1" applyFill="1" applyBorder="1" applyAlignment="1">
      <alignment horizontal="center" vertical="center"/>
    </xf>
    <xf numFmtId="0" fontId="38" fillId="8" borderId="23" xfId="8" applyFont="1" applyFill="1" applyBorder="1" applyAlignment="1">
      <alignment horizontal="center" vertical="center"/>
    </xf>
    <xf numFmtId="0" fontId="38" fillId="8" borderId="26" xfId="8" applyFont="1" applyFill="1" applyBorder="1" applyAlignment="1">
      <alignment horizontal="center" vertical="center"/>
    </xf>
    <xf numFmtId="0" fontId="38" fillId="8" borderId="11" xfId="8" applyFont="1" applyFill="1" applyBorder="1" applyAlignment="1">
      <alignment horizontal="center" vertical="center"/>
    </xf>
    <xf numFmtId="0" fontId="38" fillId="8" borderId="27" xfId="8" applyFont="1" applyFill="1" applyBorder="1" applyAlignment="1">
      <alignment horizontal="center" vertical="center"/>
    </xf>
    <xf numFmtId="0" fontId="38" fillId="8" borderId="24" xfId="8" applyFont="1" applyFill="1" applyBorder="1" applyAlignment="1">
      <alignment horizontal="center" vertical="center"/>
    </xf>
    <xf numFmtId="0" fontId="38" fillId="8" borderId="14" xfId="8" applyFont="1" applyFill="1" applyBorder="1" applyAlignment="1">
      <alignment horizontal="center" vertical="center"/>
    </xf>
    <xf numFmtId="0" fontId="38" fillId="8" borderId="25" xfId="8" applyFont="1" applyFill="1" applyBorder="1" applyAlignment="1">
      <alignment horizontal="center" vertical="center"/>
    </xf>
    <xf numFmtId="0" fontId="38" fillId="18" borderId="17" xfId="8" applyFont="1" applyFill="1" applyBorder="1" applyAlignment="1">
      <alignment horizontal="center" vertical="center"/>
    </xf>
    <xf numFmtId="0" fontId="38" fillId="18" borderId="18" xfId="8" applyFont="1" applyFill="1" applyBorder="1" applyAlignment="1">
      <alignment horizontal="center" vertical="center"/>
    </xf>
    <xf numFmtId="0" fontId="19" fillId="9" borderId="22" xfId="8" applyFill="1" applyBorder="1" applyAlignment="1">
      <alignment horizontal="left" vertical="center"/>
    </xf>
    <xf numFmtId="0" fontId="19" fillId="9" borderId="23" xfId="8" applyFill="1" applyBorder="1" applyAlignment="1">
      <alignment horizontal="left" vertical="center"/>
    </xf>
    <xf numFmtId="164" fontId="19" fillId="9" borderId="22" xfId="8" applyNumberFormat="1" applyFill="1" applyBorder="1" applyAlignment="1">
      <alignment horizontal="center" vertical="center"/>
    </xf>
    <xf numFmtId="164" fontId="19" fillId="9" borderId="23" xfId="8" applyNumberFormat="1" applyFill="1" applyBorder="1" applyAlignment="1">
      <alignment horizontal="center" vertical="center"/>
    </xf>
    <xf numFmtId="164" fontId="30" fillId="10" borderId="48" xfId="8" applyNumberFormat="1" applyFont="1" applyFill="1" applyBorder="1" applyAlignment="1">
      <alignment horizontal="center" vertical="center"/>
    </xf>
    <xf numFmtId="164" fontId="30" fillId="10" borderId="52" xfId="8" applyNumberFormat="1" applyFont="1" applyFill="1" applyBorder="1" applyAlignment="1">
      <alignment horizontal="center" vertical="center"/>
    </xf>
    <xf numFmtId="0" fontId="33" fillId="10" borderId="7" xfId="8" applyFont="1" applyFill="1" applyBorder="1" applyAlignment="1">
      <alignment horizontal="center" vertical="center" wrapText="1"/>
    </xf>
    <xf numFmtId="0" fontId="33" fillId="10" borderId="10" xfId="8" applyFont="1" applyFill="1" applyBorder="1" applyAlignment="1">
      <alignment horizontal="center" vertical="center" wrapText="1"/>
    </xf>
    <xf numFmtId="0" fontId="33" fillId="10" borderId="67" xfId="8" applyFont="1" applyFill="1" applyBorder="1" applyAlignment="1">
      <alignment horizontal="center" vertical="center" wrapText="1"/>
    </xf>
    <xf numFmtId="0" fontId="33" fillId="10" borderId="2" xfId="8" applyFont="1" applyFill="1" applyBorder="1" applyAlignment="1">
      <alignment horizontal="center" vertical="center" wrapText="1"/>
    </xf>
    <xf numFmtId="0" fontId="33" fillId="24" borderId="17" xfId="8" applyFont="1" applyFill="1" applyBorder="1" applyAlignment="1">
      <alignment horizontal="center"/>
    </xf>
    <xf numFmtId="0" fontId="33" fillId="24" borderId="18" xfId="8" applyFont="1" applyFill="1" applyBorder="1" applyAlignment="1">
      <alignment horizontal="center"/>
    </xf>
    <xf numFmtId="0" fontId="38" fillId="8" borderId="17" xfId="8" applyFont="1" applyFill="1" applyBorder="1" applyAlignment="1">
      <alignment horizontal="center" vertical="center" wrapText="1"/>
    </xf>
    <xf numFmtId="0" fontId="38" fillId="8" borderId="18" xfId="8" applyFont="1" applyFill="1" applyBorder="1" applyAlignment="1">
      <alignment horizontal="center" vertical="center" wrapText="1"/>
    </xf>
    <xf numFmtId="0" fontId="38" fillId="8" borderId="19" xfId="8" applyFont="1" applyFill="1" applyBorder="1" applyAlignment="1">
      <alignment horizontal="center" vertical="center" wrapText="1"/>
    </xf>
    <xf numFmtId="0" fontId="49" fillId="10" borderId="26" xfId="8" applyFont="1" applyFill="1" applyBorder="1" applyAlignment="1">
      <alignment horizontal="center" vertical="center" textRotation="90" wrapText="1"/>
    </xf>
    <xf numFmtId="0" fontId="49" fillId="10" borderId="24" xfId="8" applyFont="1" applyFill="1" applyBorder="1" applyAlignment="1">
      <alignment horizontal="center" vertical="center" textRotation="90" wrapText="1"/>
    </xf>
    <xf numFmtId="0" fontId="49" fillId="10" borderId="37" xfId="8" applyFont="1" applyFill="1" applyBorder="1" applyAlignment="1">
      <alignment horizontal="center" vertical="center" textRotation="90" wrapText="1"/>
    </xf>
    <xf numFmtId="0" fontId="49" fillId="10" borderId="32" xfId="8" applyFont="1" applyFill="1" applyBorder="1" applyAlignment="1">
      <alignment horizontal="center" vertical="center" textRotation="90" wrapText="1"/>
    </xf>
    <xf numFmtId="164" fontId="33" fillId="10" borderId="55" xfId="8" applyNumberFormat="1" applyFont="1" applyFill="1" applyBorder="1" applyAlignment="1">
      <alignment horizontal="center" vertical="center"/>
    </xf>
    <xf numFmtId="164" fontId="33" fillId="10" borderId="50" xfId="8" applyNumberFormat="1" applyFont="1" applyFill="1" applyBorder="1" applyAlignment="1">
      <alignment horizontal="center" vertical="center"/>
    </xf>
    <xf numFmtId="164" fontId="33" fillId="10" borderId="59" xfId="8" applyNumberFormat="1" applyFont="1" applyFill="1" applyBorder="1" applyAlignment="1">
      <alignment horizontal="center" vertical="center"/>
    </xf>
    <xf numFmtId="164" fontId="33" fillId="10" borderId="31" xfId="8" applyNumberFormat="1" applyFont="1" applyFill="1" applyBorder="1" applyAlignment="1">
      <alignment horizontal="center" vertical="center"/>
    </xf>
    <xf numFmtId="164" fontId="33" fillId="10" borderId="12" xfId="8" applyNumberFormat="1" applyFont="1" applyFill="1" applyBorder="1" applyAlignment="1">
      <alignment horizontal="center" vertical="center"/>
    </xf>
    <xf numFmtId="164" fontId="33" fillId="10" borderId="69" xfId="8" applyNumberFormat="1" applyFont="1" applyFill="1" applyBorder="1" applyAlignment="1">
      <alignment horizontal="center" vertical="center"/>
    </xf>
    <xf numFmtId="164" fontId="32" fillId="10" borderId="10" xfId="8" applyNumberFormat="1" applyFont="1" applyFill="1" applyBorder="1" applyAlignment="1">
      <alignment horizontal="center" vertical="center"/>
    </xf>
    <xf numFmtId="164" fontId="32" fillId="10" borderId="11" xfId="8" applyNumberFormat="1" applyFont="1" applyFill="1" applyBorder="1" applyAlignment="1">
      <alignment horizontal="center" vertical="center"/>
    </xf>
    <xf numFmtId="164" fontId="32" fillId="10" borderId="1" xfId="8" applyNumberFormat="1" applyFont="1" applyFill="1" applyBorder="1" applyAlignment="1">
      <alignment horizontal="center" vertical="center"/>
    </xf>
    <xf numFmtId="0" fontId="32" fillId="10" borderId="7" xfId="8" applyFont="1" applyFill="1" applyBorder="1" applyAlignment="1">
      <alignment horizontal="center" vertical="center"/>
    </xf>
    <xf numFmtId="0" fontId="32" fillId="10" borderId="8" xfId="8" applyFont="1" applyFill="1" applyBorder="1" applyAlignment="1">
      <alignment horizontal="center" vertical="center"/>
    </xf>
    <xf numFmtId="0" fontId="32" fillId="10" borderId="30" xfId="8" applyFont="1" applyFill="1" applyBorder="1" applyAlignment="1">
      <alignment horizontal="center" vertical="center"/>
    </xf>
    <xf numFmtId="0" fontId="32" fillId="10" borderId="21" xfId="8" applyFont="1" applyFill="1" applyBorder="1" applyAlignment="1">
      <alignment horizontal="center" vertical="center"/>
    </xf>
    <xf numFmtId="0" fontId="32" fillId="10" borderId="5" xfId="8" applyFont="1" applyFill="1" applyBorder="1" applyAlignment="1">
      <alignment horizontal="center" vertical="center"/>
    </xf>
    <xf numFmtId="0" fontId="32" fillId="10" borderId="13" xfId="8" applyFont="1" applyFill="1" applyBorder="1" applyAlignment="1">
      <alignment horizontal="center" vertical="center"/>
    </xf>
    <xf numFmtId="0" fontId="32" fillId="10" borderId="6" xfId="8" applyFont="1" applyFill="1" applyBorder="1" applyAlignment="1">
      <alignment horizontal="center" vertical="center"/>
    </xf>
    <xf numFmtId="1" fontId="38" fillId="8" borderId="17" xfId="8" applyNumberFormat="1" applyFont="1" applyFill="1" applyBorder="1" applyAlignment="1">
      <alignment horizontal="center" vertical="center"/>
    </xf>
    <xf numFmtId="1" fontId="38" fillId="8" borderId="18" xfId="8" applyNumberFormat="1" applyFont="1" applyFill="1" applyBorder="1" applyAlignment="1">
      <alignment horizontal="center" vertical="center"/>
    </xf>
    <xf numFmtId="1" fontId="38" fillId="8" borderId="19" xfId="8" applyNumberFormat="1" applyFont="1" applyFill="1" applyBorder="1" applyAlignment="1">
      <alignment horizontal="center" vertical="center"/>
    </xf>
    <xf numFmtId="164" fontId="34" fillId="21" borderId="12" xfId="8" applyNumberFormat="1" applyFont="1" applyFill="1" applyBorder="1" applyAlignment="1">
      <alignment horizontal="center" vertical="center"/>
    </xf>
    <xf numFmtId="0" fontId="34" fillId="21" borderId="12" xfId="8" applyFont="1" applyFill="1" applyBorder="1" applyAlignment="1">
      <alignment horizontal="center" vertical="center"/>
    </xf>
    <xf numFmtId="164" fontId="19" fillId="4" borderId="22" xfId="8" applyNumberFormat="1" applyFont="1" applyFill="1" applyBorder="1" applyAlignment="1">
      <alignment horizontal="center" vertical="center"/>
    </xf>
    <xf numFmtId="164" fontId="19" fillId="4" borderId="23" xfId="8" applyNumberFormat="1" applyFont="1" applyFill="1" applyBorder="1" applyAlignment="1">
      <alignment horizontal="center" vertical="center"/>
    </xf>
    <xf numFmtId="164" fontId="38" fillId="11" borderId="22" xfId="8" applyNumberFormat="1" applyFont="1" applyFill="1" applyBorder="1" applyAlignment="1">
      <alignment horizontal="center" vertical="center"/>
    </xf>
    <xf numFmtId="164" fontId="38" fillId="11" borderId="16" xfId="8" applyNumberFormat="1" applyFont="1" applyFill="1" applyBorder="1" applyAlignment="1">
      <alignment horizontal="center" vertical="center"/>
    </xf>
    <xf numFmtId="164" fontId="38" fillId="11" borderId="23" xfId="8" applyNumberFormat="1" applyFont="1" applyFill="1" applyBorder="1" applyAlignment="1">
      <alignment horizontal="center" vertical="center"/>
    </xf>
    <xf numFmtId="164" fontId="38" fillId="11" borderId="24" xfId="8" applyNumberFormat="1" applyFont="1" applyFill="1" applyBorder="1" applyAlignment="1">
      <alignment horizontal="center" vertical="center"/>
    </xf>
    <xf numFmtId="164" fontId="38" fillId="11" borderId="14" xfId="8" applyNumberFormat="1" applyFont="1" applyFill="1" applyBorder="1" applyAlignment="1">
      <alignment horizontal="center" vertical="center"/>
    </xf>
    <xf numFmtId="164" fontId="38" fillId="11" borderId="25" xfId="8" applyNumberFormat="1" applyFont="1" applyFill="1" applyBorder="1" applyAlignment="1">
      <alignment horizontal="center" vertical="center"/>
    </xf>
  </cellXfs>
  <cellStyles count="10">
    <cellStyle name="Moeda" xfId="4" builtinId="4"/>
    <cellStyle name="Moeda 2" xfId="2" xr:uid="{00000000-0005-0000-0000-000001000000}"/>
    <cellStyle name="Normal" xfId="0" builtinId="0"/>
    <cellStyle name="Normal 2" xfId="1" xr:uid="{00000000-0005-0000-0000-000003000000}"/>
    <cellStyle name="Normal 3" xfId="3" xr:uid="{00000000-0005-0000-0000-000004000000}"/>
    <cellStyle name="Normal 4" xfId="5" xr:uid="{00000000-0005-0000-0000-000005000000}"/>
    <cellStyle name="Normal 5" xfId="6" xr:uid="{00000000-0005-0000-0000-000006000000}"/>
    <cellStyle name="Normal 5 2" xfId="8" xr:uid="{00000000-0005-0000-0000-000007000000}"/>
    <cellStyle name="Normal 5 2 2" xfId="9" xr:uid="{00000000-0005-0000-0000-000008000000}"/>
    <cellStyle name="Normal 6" xfId="7" xr:uid="{00000000-0005-0000-0000-000009000000}"/>
  </cellStyles>
  <dxfs count="198"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FF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/>
      </font>
      <fill>
        <patternFill>
          <bgColor theme="0"/>
        </patternFill>
      </fill>
      <border>
        <left/>
        <right style="thin">
          <color auto="1"/>
        </right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>
        <left/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>
        <left/>
        <right/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/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vertical/>
        <horizontal/>
      </border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</border>
    </dxf>
    <dxf>
      <font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</border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</border>
    </dxf>
    <dxf>
      <font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</border>
    </dxf>
    <dxf>
      <font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theme="0"/>
        </left>
      </border>
    </dxf>
    <dxf>
      <font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ill>
        <patternFill>
          <bgColor theme="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4454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2721</xdr:colOff>
      <xdr:row>17</xdr:row>
      <xdr:rowOff>2761</xdr:rowOff>
    </xdr:from>
    <xdr:to>
      <xdr:col>58</xdr:col>
      <xdr:colOff>2688</xdr:colOff>
      <xdr:row>22</xdr:row>
      <xdr:rowOff>6124</xdr:rowOff>
    </xdr:to>
    <xdr:cxnSp macro="">
      <xdr:nvCxnSpPr>
        <xdr:cNvPr id="2" name="Conector angul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CxnSpPr>
          <a:stCxn id="16" idx="3"/>
          <a:endCxn id="14" idx="2"/>
        </xdr:cNvCxnSpPr>
      </xdr:nvCxnSpPr>
      <xdr:spPr>
        <a:xfrm flipV="1">
          <a:off x="26253621" y="3203161"/>
          <a:ext cx="4105242" cy="955863"/>
        </a:xfrm>
        <a:prstGeom prst="bentConnector2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449035</xdr:colOff>
      <xdr:row>13</xdr:row>
      <xdr:rowOff>190499</xdr:rowOff>
    </xdr:from>
    <xdr:to>
      <xdr:col>56</xdr:col>
      <xdr:colOff>6804</xdr:colOff>
      <xdr:row>18</xdr:row>
      <xdr:rowOff>3402</xdr:rowOff>
    </xdr:to>
    <xdr:cxnSp macro="">
      <xdr:nvCxnSpPr>
        <xdr:cNvPr id="3" name="Conector angulad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>
          <a:stCxn id="15" idx="3"/>
          <a:endCxn id="8" idx="2"/>
        </xdr:cNvCxnSpPr>
      </xdr:nvCxnSpPr>
      <xdr:spPr>
        <a:xfrm flipV="1">
          <a:off x="26252260" y="2628899"/>
          <a:ext cx="2891519" cy="765403"/>
        </a:xfrm>
        <a:prstGeom prst="bentConnector2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442764</xdr:colOff>
      <xdr:row>10</xdr:row>
      <xdr:rowOff>186035</xdr:rowOff>
    </xdr:from>
    <xdr:to>
      <xdr:col>54</xdr:col>
      <xdr:colOff>1786</xdr:colOff>
      <xdr:row>14</xdr:row>
      <xdr:rowOff>355</xdr:rowOff>
    </xdr:to>
    <xdr:cxnSp macro="">
      <xdr:nvCxnSpPr>
        <xdr:cNvPr id="4" name="Conector angulad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>
          <a:stCxn id="10" idx="3"/>
          <a:endCxn id="11" idx="2"/>
        </xdr:cNvCxnSpPr>
      </xdr:nvCxnSpPr>
      <xdr:spPr>
        <a:xfrm flipV="1">
          <a:off x="26245989" y="2052935"/>
          <a:ext cx="1673572" cy="576320"/>
        </a:xfrm>
        <a:prstGeom prst="bentConnector2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6</xdr:row>
      <xdr:rowOff>89958</xdr:rowOff>
    </xdr:from>
    <xdr:to>
      <xdr:col>56</xdr:col>
      <xdr:colOff>6804</xdr:colOff>
      <xdr:row>11</xdr:row>
      <xdr:rowOff>183696</xdr:rowOff>
    </xdr:to>
    <xdr:cxnSp macro="">
      <xdr:nvCxnSpPr>
        <xdr:cNvPr id="5" name="Conector angul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>
          <a:stCxn id="12" idx="3"/>
          <a:endCxn id="8" idx="0"/>
        </xdr:cNvCxnSpPr>
      </xdr:nvCxnSpPr>
      <xdr:spPr>
        <a:xfrm>
          <a:off x="26698575" y="1194858"/>
          <a:ext cx="2445204" cy="1046238"/>
        </a:xfrm>
        <a:prstGeom prst="bentConnector2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4</xdr:row>
      <xdr:rowOff>186287</xdr:rowOff>
    </xdr:from>
    <xdr:to>
      <xdr:col>54</xdr:col>
      <xdr:colOff>1786</xdr:colOff>
      <xdr:row>9</xdr:row>
      <xdr:rowOff>0</xdr:rowOff>
    </xdr:to>
    <xdr:cxnSp macro="">
      <xdr:nvCxnSpPr>
        <xdr:cNvPr id="6" name="Conector angulad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>
          <a:stCxn id="9" idx="3"/>
          <a:endCxn id="11" idx="0"/>
        </xdr:cNvCxnSpPr>
      </xdr:nvCxnSpPr>
      <xdr:spPr>
        <a:xfrm>
          <a:off x="26698575" y="910187"/>
          <a:ext cx="1220986" cy="766213"/>
        </a:xfrm>
        <a:prstGeom prst="bentConnector2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3025</xdr:colOff>
      <xdr:row>7</xdr:row>
      <xdr:rowOff>95249</xdr:rowOff>
    </xdr:from>
    <xdr:to>
      <xdr:col>58</xdr:col>
      <xdr:colOff>2688</xdr:colOff>
      <xdr:row>14</xdr:row>
      <xdr:rowOff>186458</xdr:rowOff>
    </xdr:to>
    <xdr:cxnSp macro="">
      <xdr:nvCxnSpPr>
        <xdr:cNvPr id="7" name="Conector angulad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>
          <a:stCxn id="13" idx="3"/>
          <a:endCxn id="14" idx="0"/>
        </xdr:cNvCxnSpPr>
      </xdr:nvCxnSpPr>
      <xdr:spPr>
        <a:xfrm>
          <a:off x="26701600" y="1390649"/>
          <a:ext cx="3657263" cy="1424709"/>
        </a:xfrm>
        <a:prstGeom prst="bentConnector2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6804</xdr:colOff>
      <xdr:row>11</xdr:row>
      <xdr:rowOff>183696</xdr:rowOff>
    </xdr:from>
    <xdr:to>
      <xdr:col>57</xdr:col>
      <xdr:colOff>6804</xdr:colOff>
      <xdr:row>13</xdr:row>
      <xdr:rowOff>190499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8534179" y="2241096"/>
          <a:ext cx="1219200" cy="387803"/>
        </a:xfrm>
        <a:prstGeom prst="rect">
          <a:avLst/>
        </a:prstGeom>
        <a:noFill/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884464</xdr:colOff>
      <xdr:row>4</xdr:row>
      <xdr:rowOff>0</xdr:rowOff>
    </xdr:from>
    <xdr:to>
      <xdr:col>52</xdr:col>
      <xdr:colOff>0</xdr:colOff>
      <xdr:row>5</xdr:row>
      <xdr:rowOff>180473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5801864" y="723900"/>
          <a:ext cx="896711" cy="37097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3721</xdr:colOff>
      <xdr:row>12</xdr:row>
      <xdr:rowOff>189608</xdr:rowOff>
    </xdr:from>
    <xdr:to>
      <xdr:col>50</xdr:col>
      <xdr:colOff>442764</xdr:colOff>
      <xdr:row>15</xdr:row>
      <xdr:rowOff>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4311521" y="2437508"/>
          <a:ext cx="1934468" cy="3818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3572</xdr:colOff>
      <xdr:row>9</xdr:row>
      <xdr:rowOff>0</xdr:rowOff>
    </xdr:from>
    <xdr:to>
      <xdr:col>54</xdr:col>
      <xdr:colOff>612321</xdr:colOff>
      <xdr:row>10</xdr:row>
      <xdr:rowOff>186035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7311747" y="1676400"/>
          <a:ext cx="1218349" cy="376535"/>
        </a:xfrm>
        <a:prstGeom prst="rect">
          <a:avLst/>
        </a:prstGeom>
        <a:noFill/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10583</xdr:colOff>
      <xdr:row>5</xdr:row>
      <xdr:rowOff>179916</xdr:rowOff>
    </xdr:from>
    <xdr:to>
      <xdr:col>52</xdr:col>
      <xdr:colOff>0</xdr:colOff>
      <xdr:row>7</xdr:row>
      <xdr:rowOff>0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4927983" y="1094316"/>
          <a:ext cx="1770592" cy="201084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13608</xdr:colOff>
      <xdr:row>6</xdr:row>
      <xdr:rowOff>185207</xdr:rowOff>
    </xdr:from>
    <xdr:to>
      <xdr:col>52</xdr:col>
      <xdr:colOff>3025</xdr:colOff>
      <xdr:row>8</xdr:row>
      <xdr:rowOff>5291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4931008" y="1290107"/>
          <a:ext cx="1770592" cy="201084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57</xdr:col>
      <xdr:colOff>2688</xdr:colOff>
      <xdr:row>14</xdr:row>
      <xdr:rowOff>186458</xdr:rowOff>
    </xdr:from>
    <xdr:to>
      <xdr:col>59</xdr:col>
      <xdr:colOff>2688</xdr:colOff>
      <xdr:row>17</xdr:row>
      <xdr:rowOff>2761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9749263" y="2815358"/>
          <a:ext cx="1219200" cy="387803"/>
        </a:xfrm>
        <a:prstGeom prst="rect">
          <a:avLst/>
        </a:prstGeom>
        <a:noFill/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0</xdr:colOff>
      <xdr:row>17</xdr:row>
      <xdr:rowOff>0</xdr:rowOff>
    </xdr:from>
    <xdr:to>
      <xdr:col>50</xdr:col>
      <xdr:colOff>449035</xdr:colOff>
      <xdr:row>19</xdr:row>
      <xdr:rowOff>6803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4307800" y="3200400"/>
          <a:ext cx="1944460" cy="38780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2721</xdr:colOff>
      <xdr:row>21</xdr:row>
      <xdr:rowOff>2722</xdr:rowOff>
    </xdr:from>
    <xdr:to>
      <xdr:col>51</xdr:col>
      <xdr:colOff>2721</xdr:colOff>
      <xdr:row>23</xdr:row>
      <xdr:rowOff>9525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4310521" y="3965122"/>
          <a:ext cx="1943100" cy="38780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4A72E-EFFE-4F41-982A-F03F0257D07B}">
  <sheetPr codeName="Planilha1"/>
  <dimension ref="A1:BH259"/>
  <sheetViews>
    <sheetView showZeros="0" zoomScale="95" zoomScaleNormal="95" workbookViewId="0">
      <selection activeCell="B3" sqref="B3:C5"/>
    </sheetView>
  </sheetViews>
  <sheetFormatPr defaultColWidth="9.140625" defaultRowHeight="15"/>
  <cols>
    <col min="1" max="1" width="9.140625" style="13"/>
    <col min="2" max="2" width="10.7109375" style="13" customWidth="1"/>
    <col min="3" max="3" width="9" style="13" customWidth="1"/>
    <col min="4" max="4" width="21.7109375" style="13" customWidth="1"/>
    <col min="5" max="5" width="10.7109375" style="13" customWidth="1"/>
    <col min="6" max="6" width="8.140625" style="13" customWidth="1"/>
    <col min="7" max="8" width="8.7109375" style="13" hidden="1" customWidth="1"/>
    <col min="9" max="9" width="11.140625" style="13" hidden="1" customWidth="1"/>
    <col min="10" max="12" width="5.28515625" style="13" customWidth="1"/>
    <col min="13" max="17" width="5.28515625" style="464" hidden="1" customWidth="1"/>
    <col min="18" max="18" width="9.28515625" style="13" customWidth="1"/>
    <col min="19" max="19" width="11.7109375" style="13" bestFit="1" customWidth="1"/>
    <col min="20" max="20" width="12" style="13" bestFit="1" customWidth="1"/>
    <col min="21" max="21" width="3.85546875" style="13" customWidth="1"/>
    <col min="22" max="22" width="14.7109375" style="13" bestFit="1" customWidth="1"/>
    <col min="23" max="29" width="12.140625" style="13" customWidth="1"/>
    <col min="30" max="30" width="12.140625" style="501" customWidth="1"/>
    <col min="31" max="31" width="12.140625" style="13" customWidth="1"/>
    <col min="32" max="33" width="7.85546875" style="13" hidden="1" customWidth="1"/>
    <col min="34" max="34" width="4" style="13" customWidth="1"/>
    <col min="35" max="35" width="11" style="13" bestFit="1" customWidth="1"/>
    <col min="36" max="36" width="8.7109375" style="3" customWidth="1"/>
    <col min="37" max="37" width="30.85546875" style="14" customWidth="1"/>
    <col min="38" max="38" width="12.7109375" style="15" customWidth="1"/>
    <col min="39" max="39" width="10.28515625" style="16" customWidth="1"/>
    <col min="40" max="40" width="4.140625" style="13" customWidth="1"/>
    <col min="41" max="41" width="9.140625" style="5"/>
    <col min="42" max="42" width="9.140625" style="17"/>
    <col min="43" max="45" width="16.5703125" style="17" customWidth="1"/>
    <col min="46" max="46" width="6.7109375" style="5" customWidth="1"/>
    <col min="47" max="48" width="13.7109375" style="5" customWidth="1"/>
    <col min="49" max="56" width="9.140625" style="5"/>
    <col min="57" max="57" width="9.140625" style="18"/>
    <col min="58" max="59" width="9.140625" style="3"/>
    <col min="60" max="16384" width="9.140625" style="308"/>
  </cols>
  <sheetData>
    <row r="1" spans="2:60" ht="15" customHeight="1">
      <c r="B1" s="308"/>
      <c r="C1" s="308"/>
      <c r="D1" s="308"/>
      <c r="E1" s="308"/>
      <c r="F1" s="308"/>
      <c r="G1" s="308"/>
      <c r="H1" s="308"/>
      <c r="I1" s="308"/>
      <c r="J1" s="308"/>
      <c r="K1" s="308"/>
      <c r="L1" s="308"/>
      <c r="M1" s="455"/>
      <c r="N1" s="455"/>
      <c r="O1" s="455"/>
      <c r="P1" s="455"/>
      <c r="Q1" s="455"/>
      <c r="R1" s="311"/>
      <c r="S1" s="308"/>
      <c r="T1" s="308"/>
      <c r="U1" s="308"/>
      <c r="V1" s="308"/>
      <c r="W1" s="308"/>
      <c r="X1" s="308"/>
      <c r="Y1" s="308"/>
      <c r="Z1" s="308"/>
      <c r="AA1" s="308"/>
      <c r="AB1" s="308"/>
      <c r="AC1" s="308"/>
      <c r="AD1" s="497"/>
      <c r="AE1" s="308"/>
      <c r="AF1" s="197"/>
    </row>
    <row r="2" spans="2:60" ht="15" customHeight="1">
      <c r="B2" s="308"/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455"/>
      <c r="N2" s="455"/>
      <c r="O2" s="455"/>
      <c r="P2" s="455"/>
      <c r="Q2" s="455"/>
      <c r="R2" s="311"/>
      <c r="S2" s="308"/>
      <c r="T2" s="308"/>
      <c r="U2" s="308"/>
      <c r="V2" s="308"/>
      <c r="W2" s="308"/>
      <c r="X2" s="308"/>
      <c r="Y2" s="334"/>
      <c r="Z2" s="334"/>
      <c r="AA2" s="334"/>
      <c r="AB2" s="334"/>
      <c r="AC2" s="334"/>
      <c r="AD2" s="497"/>
      <c r="AE2" s="308"/>
      <c r="AF2" s="197"/>
    </row>
    <row r="3" spans="2:60" ht="15" customHeight="1">
      <c r="B3" s="603" t="s">
        <v>294</v>
      </c>
      <c r="C3" s="604"/>
      <c r="D3" s="609" t="s">
        <v>292</v>
      </c>
      <c r="E3" s="612" t="s">
        <v>293</v>
      </c>
      <c r="F3" s="613"/>
      <c r="G3" s="325"/>
      <c r="H3" s="326"/>
      <c r="I3" s="327"/>
      <c r="J3" s="614" t="s">
        <v>87</v>
      </c>
      <c r="K3" s="615"/>
      <c r="L3" s="616"/>
      <c r="M3" s="477"/>
      <c r="N3" s="483"/>
      <c r="O3" s="483"/>
      <c r="P3" s="483"/>
      <c r="Q3" s="480"/>
      <c r="R3" s="623" t="s">
        <v>295</v>
      </c>
      <c r="S3" s="624"/>
      <c r="T3" s="308"/>
      <c r="U3" s="308"/>
      <c r="X3" s="308"/>
      <c r="AD3" s="497"/>
      <c r="AE3" s="308"/>
      <c r="AF3" s="197"/>
      <c r="AH3" s="681" t="s">
        <v>164</v>
      </c>
      <c r="AI3" s="599" t="s">
        <v>81</v>
      </c>
      <c r="AJ3" s="601" t="s">
        <v>35</v>
      </c>
      <c r="AK3" s="601"/>
      <c r="AL3" s="601"/>
      <c r="AM3" s="599" t="s">
        <v>43</v>
      </c>
      <c r="AQ3" s="599" t="s">
        <v>361</v>
      </c>
      <c r="AR3" s="599" t="s">
        <v>386</v>
      </c>
      <c r="AS3" s="599" t="s">
        <v>387</v>
      </c>
      <c r="AU3" s="593" t="s">
        <v>362</v>
      </c>
      <c r="AV3" s="591"/>
      <c r="BC3" s="370"/>
      <c r="BD3" s="371"/>
      <c r="BE3" s="372"/>
      <c r="BF3" s="373"/>
      <c r="BG3" s="373"/>
      <c r="BH3" s="374"/>
    </row>
    <row r="4" spans="2:60" ht="15" customHeight="1">
      <c r="B4" s="605"/>
      <c r="C4" s="606"/>
      <c r="D4" s="610"/>
      <c r="E4" s="612"/>
      <c r="F4" s="613"/>
      <c r="G4" s="328"/>
      <c r="H4" s="329"/>
      <c r="I4" s="330"/>
      <c r="J4" s="617"/>
      <c r="K4" s="618"/>
      <c r="L4" s="619"/>
      <c r="M4" s="478"/>
      <c r="N4" s="484"/>
      <c r="O4" s="484"/>
      <c r="P4" s="484"/>
      <c r="Q4" s="481"/>
      <c r="R4" s="625"/>
      <c r="S4" s="626"/>
      <c r="T4" s="308"/>
      <c r="U4" s="308"/>
      <c r="V4" s="629" t="s">
        <v>134</v>
      </c>
      <c r="W4" s="631" t="s">
        <v>378</v>
      </c>
      <c r="X4" s="633" t="s">
        <v>134</v>
      </c>
      <c r="Y4" s="634" t="s">
        <v>302</v>
      </c>
      <c r="Z4" s="629" t="s">
        <v>304</v>
      </c>
      <c r="AA4" s="638" t="s">
        <v>377</v>
      </c>
      <c r="AB4" s="633" t="s">
        <v>32</v>
      </c>
      <c r="AC4" s="634" t="s">
        <v>303</v>
      </c>
      <c r="AD4" s="497"/>
      <c r="AE4" s="308"/>
      <c r="AF4" s="198"/>
      <c r="AG4" s="25"/>
      <c r="AH4" s="682"/>
      <c r="AI4" s="600"/>
      <c r="AJ4" s="602"/>
      <c r="AK4" s="602"/>
      <c r="AL4" s="602"/>
      <c r="AM4" s="680"/>
      <c r="AQ4" s="689"/>
      <c r="AR4" s="689"/>
      <c r="AS4" s="689"/>
      <c r="AU4" s="690"/>
      <c r="AV4" s="691"/>
      <c r="BC4" s="375"/>
      <c r="BD4" s="57"/>
      <c r="BE4" s="24"/>
      <c r="BF4" s="6"/>
      <c r="BG4" s="6"/>
      <c r="BH4" s="376"/>
    </row>
    <row r="5" spans="2:60" ht="15" customHeight="1">
      <c r="B5" s="607"/>
      <c r="C5" s="608"/>
      <c r="D5" s="611"/>
      <c r="E5" s="612"/>
      <c r="F5" s="613"/>
      <c r="G5" s="328"/>
      <c r="H5" s="329"/>
      <c r="I5" s="330"/>
      <c r="J5" s="620"/>
      <c r="K5" s="621"/>
      <c r="L5" s="622"/>
      <c r="M5" s="478"/>
      <c r="N5" s="484"/>
      <c r="O5" s="484"/>
      <c r="P5" s="484"/>
      <c r="Q5" s="481"/>
      <c r="R5" s="627"/>
      <c r="S5" s="628"/>
      <c r="T5" s="308"/>
      <c r="U5" s="308"/>
      <c r="V5" s="630"/>
      <c r="W5" s="632"/>
      <c r="X5" s="534"/>
      <c r="Y5" s="635"/>
      <c r="Z5" s="637"/>
      <c r="AA5" s="639"/>
      <c r="AB5" s="534"/>
      <c r="AC5" s="635"/>
      <c r="AD5" s="497"/>
      <c r="AE5" s="308"/>
      <c r="AF5" s="199" t="str">
        <f t="shared" ref="AF5:AF36" si="0">IFERROR(VLOOKUP(AG5,$G$12:$G$239,1,0),"")</f>
        <v/>
      </c>
      <c r="AG5" s="319" t="str">
        <f>IF(AL5="","",AJ5+AL5)</f>
        <v/>
      </c>
      <c r="AH5" s="114" t="str">
        <f>IF(AND(AF5="",AG5=""),"",IF(AF5=AG5,"P",IF(AF5&lt;&gt;AG5,"O")))</f>
        <v/>
      </c>
      <c r="AI5" s="117" t="str">
        <f t="shared" ref="AI5:AI36" si="1">IF(AG5="","",IFERROR(VLOOKUP(AG5,$H$12:$I$239,2,0),""))</f>
        <v/>
      </c>
      <c r="AJ5" s="195"/>
      <c r="AK5" s="213"/>
      <c r="AL5" s="163"/>
      <c r="AM5" s="568" t="s">
        <v>90</v>
      </c>
      <c r="AP5" s="677" t="s">
        <v>90</v>
      </c>
      <c r="AQ5" s="669">
        <f>AJ108</f>
        <v>4698.33</v>
      </c>
      <c r="AR5" s="671">
        <f>66.35+0.02</f>
        <v>66.36999999999999</v>
      </c>
      <c r="AS5" s="671">
        <f>AQ5-AR5</f>
        <v>4631.96</v>
      </c>
      <c r="AT5" s="673" t="str">
        <f>IF(AND(AS5=0,AU5=0),"",IF(AS5=AU5,"P","O"))</f>
        <v>P</v>
      </c>
      <c r="AU5" s="674">
        <f>AV5-AU7</f>
        <v>4631.96</v>
      </c>
      <c r="AV5" s="675">
        <v>4983.96</v>
      </c>
      <c r="BC5" s="509"/>
      <c r="BD5" s="24" t="s">
        <v>88</v>
      </c>
      <c r="BE5" s="369" t="s">
        <v>89</v>
      </c>
      <c r="BF5" s="377" t="s">
        <v>118</v>
      </c>
      <c r="BG5" s="12" t="s">
        <v>135</v>
      </c>
      <c r="BH5" s="376"/>
    </row>
    <row r="6" spans="2:60" ht="15" customHeight="1">
      <c r="B6" s="551">
        <f>SUM(E10,E18,E26,E39,E48,E56,E79,E97,E105,E116,E128,E140,E175,E189,E205,E217)</f>
        <v>13782.629999999997</v>
      </c>
      <c r="C6" s="641"/>
      <c r="D6" s="649">
        <f>SUM(J10,J18,J26,J39,J48,J56,J79,J97,J105,J116,J128,J140,J175,J189,J205,J217)</f>
        <v>0</v>
      </c>
      <c r="E6" s="652">
        <f>SUM(B6:D6)</f>
        <v>13782.629999999997</v>
      </c>
      <c r="F6" s="653"/>
      <c r="G6" s="331"/>
      <c r="H6" s="332"/>
      <c r="I6" s="333"/>
      <c r="J6" s="654">
        <f>X42</f>
        <v>1380.9099999999999</v>
      </c>
      <c r="K6" s="655"/>
      <c r="L6" s="656"/>
      <c r="M6" s="478"/>
      <c r="N6" s="484"/>
      <c r="O6" s="484"/>
      <c r="P6" s="484"/>
      <c r="Q6" s="481"/>
      <c r="R6" s="663">
        <f>SUM(E6,J6)</f>
        <v>15163.539999999997</v>
      </c>
      <c r="S6" s="664"/>
      <c r="T6" s="308"/>
      <c r="U6" s="308"/>
      <c r="V6" s="445" t="s">
        <v>96</v>
      </c>
      <c r="W6" s="513"/>
      <c r="X6" s="535"/>
      <c r="Y6" s="636"/>
      <c r="Z6" s="630"/>
      <c r="AA6" s="640"/>
      <c r="AB6" s="535"/>
      <c r="AC6" s="636"/>
      <c r="AD6" s="497"/>
      <c r="AE6" s="308"/>
      <c r="AF6" s="200" t="str">
        <f t="shared" si="0"/>
        <v/>
      </c>
      <c r="AG6" s="320" t="str">
        <f t="shared" ref="AG6:AG69" si="2">IF(AL6="","",AJ6+AL6)</f>
        <v/>
      </c>
      <c r="AH6" s="33" t="str">
        <f t="shared" ref="AH6:AH69" si="3">IF(AND(AF6="",AG6=""),"",IF(AF6=AG6,"P",IF(AF6&lt;&gt;AG6,"O")))</f>
        <v/>
      </c>
      <c r="AI6" s="99" t="str">
        <f t="shared" si="1"/>
        <v/>
      </c>
      <c r="AJ6" s="195"/>
      <c r="AK6" s="42"/>
      <c r="AL6" s="163"/>
      <c r="AM6" s="569"/>
      <c r="AP6" s="692"/>
      <c r="AQ6" s="670"/>
      <c r="AR6" s="672"/>
      <c r="AS6" s="672"/>
      <c r="AT6" s="673"/>
      <c r="AU6" s="674"/>
      <c r="AV6" s="676"/>
      <c r="BC6" s="375"/>
      <c r="BD6" s="24" t="s">
        <v>93</v>
      </c>
      <c r="BE6" s="369" t="s">
        <v>94</v>
      </c>
      <c r="BF6" s="377" t="s">
        <v>90</v>
      </c>
      <c r="BG6" s="12" t="s">
        <v>2</v>
      </c>
      <c r="BH6" s="376"/>
    </row>
    <row r="7" spans="2:60" ht="15" customHeight="1">
      <c r="B7" s="645"/>
      <c r="C7" s="646"/>
      <c r="D7" s="650"/>
      <c r="E7" s="652"/>
      <c r="F7" s="653"/>
      <c r="G7" s="331"/>
      <c r="H7" s="332"/>
      <c r="I7" s="333"/>
      <c r="J7" s="657"/>
      <c r="K7" s="658"/>
      <c r="L7" s="659"/>
      <c r="M7" s="478"/>
      <c r="N7" s="484"/>
      <c r="O7" s="484"/>
      <c r="P7" s="484"/>
      <c r="Q7" s="481"/>
      <c r="R7" s="665"/>
      <c r="S7" s="666"/>
      <c r="T7" s="308"/>
      <c r="U7" s="308"/>
      <c r="V7" s="429" t="s">
        <v>41</v>
      </c>
      <c r="W7" s="486">
        <v>7000</v>
      </c>
      <c r="X7" s="394"/>
      <c r="Y7" s="393">
        <f t="shared" ref="Y7:Y16" si="4">SUM(W7:X7)</f>
        <v>7000</v>
      </c>
      <c r="Z7" s="392" t="s">
        <v>97</v>
      </c>
      <c r="AA7" s="488">
        <f>SUMIFS(E12:E243,K12:K243,"AV")</f>
        <v>6181.8399999999983</v>
      </c>
      <c r="AB7" s="394">
        <f>SUMIFS(S12:S243,K12:K243,"AV")</f>
        <v>0</v>
      </c>
      <c r="AC7" s="390">
        <f t="shared" ref="AC7:AC12" si="5">SUM(AA7:AB7)</f>
        <v>6181.8399999999983</v>
      </c>
      <c r="AD7" s="497"/>
      <c r="AE7" s="308"/>
      <c r="AF7" s="200" t="str">
        <f t="shared" si="0"/>
        <v/>
      </c>
      <c r="AG7" s="320" t="str">
        <f t="shared" si="2"/>
        <v/>
      </c>
      <c r="AH7" s="33" t="str">
        <f t="shared" si="3"/>
        <v/>
      </c>
      <c r="AI7" s="99" t="str">
        <f t="shared" si="1"/>
        <v/>
      </c>
      <c r="AJ7" s="121"/>
      <c r="AK7" s="42"/>
      <c r="AL7" s="163"/>
      <c r="AM7" s="569"/>
      <c r="AP7" s="677" t="s">
        <v>95</v>
      </c>
      <c r="AQ7" s="669">
        <f>AJ130</f>
        <v>352</v>
      </c>
      <c r="AR7" s="671"/>
      <c r="AS7" s="671">
        <f t="shared" ref="AS7" si="6">AQ7-AR7</f>
        <v>352</v>
      </c>
      <c r="AT7" s="673" t="str">
        <f t="shared" ref="AT7" si="7">IF(AND(AS7=0,AU7=0),"",IF(AS7=AU7,"P","O"))</f>
        <v>P</v>
      </c>
      <c r="AU7" s="674">
        <v>352</v>
      </c>
      <c r="AV7" s="676"/>
      <c r="BC7" s="375"/>
      <c r="BD7" s="57"/>
      <c r="BE7" s="369" t="s">
        <v>98</v>
      </c>
      <c r="BF7" s="377" t="s">
        <v>95</v>
      </c>
      <c r="BG7" s="6"/>
      <c r="BH7" s="376"/>
    </row>
    <row r="8" spans="2:60" ht="15" customHeight="1">
      <c r="B8" s="647"/>
      <c r="C8" s="648"/>
      <c r="D8" s="651"/>
      <c r="E8" s="652"/>
      <c r="F8" s="653"/>
      <c r="G8" s="453"/>
      <c r="H8" s="476"/>
      <c r="I8" s="454"/>
      <c r="J8" s="660"/>
      <c r="K8" s="661"/>
      <c r="L8" s="662"/>
      <c r="M8" s="479"/>
      <c r="N8" s="485"/>
      <c r="O8" s="485"/>
      <c r="P8" s="485"/>
      <c r="Q8" s="482"/>
      <c r="R8" s="667"/>
      <c r="S8" s="668"/>
      <c r="T8" s="308"/>
      <c r="U8" s="308"/>
      <c r="V8" s="429" t="s">
        <v>101</v>
      </c>
      <c r="W8" s="486">
        <v>1800</v>
      </c>
      <c r="X8" s="394"/>
      <c r="Y8" s="393">
        <f t="shared" si="4"/>
        <v>1800</v>
      </c>
      <c r="Z8" s="392" t="s">
        <v>100</v>
      </c>
      <c r="AA8" s="486">
        <f>SUMIFS(E12:E243,K12:K243,"IT")</f>
        <v>4957.7999999999993</v>
      </c>
      <c r="AB8" s="394">
        <f>SUMIFS(S12:S243,K12:K243,"IT")</f>
        <v>0</v>
      </c>
      <c r="AC8" s="451">
        <f t="shared" si="5"/>
        <v>4957.7999999999993</v>
      </c>
      <c r="AD8" s="498" t="str">
        <f>IF(AU5=0,"",IF(AC8=AU5,"P","O"))</f>
        <v>O</v>
      </c>
      <c r="AE8" s="308"/>
      <c r="AF8" s="200" t="str">
        <f t="shared" si="0"/>
        <v/>
      </c>
      <c r="AG8" s="320" t="str">
        <f t="shared" si="2"/>
        <v/>
      </c>
      <c r="AH8" s="33" t="str">
        <f t="shared" si="3"/>
        <v/>
      </c>
      <c r="AI8" s="99" t="str">
        <f t="shared" si="1"/>
        <v/>
      </c>
      <c r="AJ8" s="121"/>
      <c r="AK8" s="42"/>
      <c r="AL8" s="163"/>
      <c r="AM8" s="48"/>
      <c r="AP8" s="678"/>
      <c r="AQ8" s="679"/>
      <c r="AR8" s="672"/>
      <c r="AS8" s="672"/>
      <c r="AT8" s="673"/>
      <c r="AU8" s="674"/>
      <c r="AV8" s="676"/>
      <c r="BC8" s="375"/>
      <c r="BD8" s="57"/>
      <c r="BE8" s="24"/>
      <c r="BF8" s="377" t="s">
        <v>99</v>
      </c>
      <c r="BG8" s="6"/>
      <c r="BH8" s="376"/>
    </row>
    <row r="9" spans="2:60" ht="15" customHeight="1">
      <c r="B9" s="308"/>
      <c r="C9" s="308"/>
      <c r="D9" s="308"/>
      <c r="E9" s="308"/>
      <c r="F9" s="308"/>
      <c r="G9" s="308"/>
      <c r="H9" s="308"/>
      <c r="I9" s="308"/>
      <c r="J9" s="308"/>
      <c r="K9" s="308"/>
      <c r="L9" s="308"/>
      <c r="M9" s="455"/>
      <c r="N9" s="455"/>
      <c r="O9" s="455"/>
      <c r="P9" s="455"/>
      <c r="Q9" s="455"/>
      <c r="R9" s="308"/>
      <c r="S9" s="308"/>
      <c r="T9" s="308"/>
      <c r="U9" s="308"/>
      <c r="V9" s="429" t="s">
        <v>103</v>
      </c>
      <c r="W9" s="486">
        <v>1620</v>
      </c>
      <c r="X9" s="394"/>
      <c r="Y9" s="393">
        <f t="shared" si="4"/>
        <v>1620</v>
      </c>
      <c r="Z9" s="392" t="s">
        <v>102</v>
      </c>
      <c r="AA9" s="486">
        <f>SUMIFS(E12:E243,K12:K243,"IT2")</f>
        <v>352</v>
      </c>
      <c r="AB9" s="394">
        <f>SUMIFS(S12:S243,K12:K243,"IT2")</f>
        <v>0</v>
      </c>
      <c r="AC9" s="451">
        <f t="shared" si="5"/>
        <v>352</v>
      </c>
      <c r="AD9" s="499" t="str">
        <f>IF(AU7=0,"",IF(AC9=AU7,"P","O"))</f>
        <v>P</v>
      </c>
      <c r="AE9" s="308"/>
      <c r="AF9" s="200" t="str">
        <f t="shared" si="0"/>
        <v/>
      </c>
      <c r="AG9" s="320" t="str">
        <f t="shared" si="2"/>
        <v/>
      </c>
      <c r="AH9" s="33" t="str">
        <f t="shared" si="3"/>
        <v/>
      </c>
      <c r="AI9" s="99" t="str">
        <f t="shared" si="1"/>
        <v/>
      </c>
      <c r="AJ9" s="121"/>
      <c r="AK9" s="42"/>
      <c r="AL9" s="163"/>
      <c r="AM9" s="48"/>
      <c r="AP9" s="677" t="s">
        <v>114</v>
      </c>
      <c r="AQ9" s="669">
        <f>AJ152</f>
        <v>582.16000000000008</v>
      </c>
      <c r="AR9" s="671"/>
      <c r="AS9" s="671">
        <f t="shared" ref="AS9" si="8">AQ9-AR9</f>
        <v>582.16000000000008</v>
      </c>
      <c r="AT9" s="673" t="str">
        <f t="shared" ref="AT9" si="9">IF(AND(AS9=0,AU9=0),"",IF(AS9=AU9,"P","O"))</f>
        <v>P</v>
      </c>
      <c r="AU9" s="674">
        <v>582.16</v>
      </c>
      <c r="AV9" s="674"/>
      <c r="BC9" s="375"/>
      <c r="BD9" s="57"/>
      <c r="BE9" s="24"/>
      <c r="BF9" s="377" t="s">
        <v>8</v>
      </c>
      <c r="BG9" s="6"/>
      <c r="BH9" s="376"/>
    </row>
    <row r="10" spans="2:60" ht="15" customHeight="1">
      <c r="B10" s="545" t="s">
        <v>234</v>
      </c>
      <c r="C10" s="546"/>
      <c r="D10" s="547"/>
      <c r="E10" s="551">
        <f>SUM(E12:E16)</f>
        <v>4065.24</v>
      </c>
      <c r="F10" s="641"/>
      <c r="G10" s="322"/>
      <c r="H10" s="220"/>
      <c r="I10" s="206"/>
      <c r="J10" s="643">
        <f>SUM(S12:S16)</f>
        <v>0</v>
      </c>
      <c r="K10" s="555"/>
      <c r="L10" s="556"/>
      <c r="M10" s="460"/>
      <c r="N10" s="456"/>
      <c r="O10" s="456"/>
      <c r="P10" s="456"/>
      <c r="Q10" s="461"/>
      <c r="R10" s="559">
        <f>SUM(E10,J10)</f>
        <v>4065.24</v>
      </c>
      <c r="S10" s="560"/>
      <c r="T10" s="308"/>
      <c r="U10" s="308"/>
      <c r="V10" s="429" t="s">
        <v>105</v>
      </c>
      <c r="W10" s="486">
        <v>500</v>
      </c>
      <c r="X10" s="394"/>
      <c r="Y10" s="393">
        <f t="shared" si="4"/>
        <v>500</v>
      </c>
      <c r="Z10" s="392" t="s">
        <v>104</v>
      </c>
      <c r="AA10" s="486">
        <f>SUMIFS(E12:E243,K12:K243,"ITP")</f>
        <v>582.16000000000008</v>
      </c>
      <c r="AB10" s="394">
        <f>SUMIFS(S12:S243,K12:K243,"ITP")</f>
        <v>0</v>
      </c>
      <c r="AC10" s="451">
        <f t="shared" si="5"/>
        <v>582.16000000000008</v>
      </c>
      <c r="AD10" s="499" t="str">
        <f>IF(AU9=0,"",IF(AC10=AU9,"P","O"))</f>
        <v>P</v>
      </c>
      <c r="AE10" s="308"/>
      <c r="AF10" s="200" t="str">
        <f t="shared" si="0"/>
        <v/>
      </c>
      <c r="AG10" s="320" t="str">
        <f t="shared" si="2"/>
        <v/>
      </c>
      <c r="AH10" s="33" t="str">
        <f t="shared" si="3"/>
        <v/>
      </c>
      <c r="AI10" s="99" t="str">
        <f t="shared" si="1"/>
        <v/>
      </c>
      <c r="AJ10" s="121"/>
      <c r="AK10" s="42"/>
      <c r="AL10" s="163"/>
      <c r="AM10" s="48"/>
      <c r="AP10" s="678"/>
      <c r="AQ10" s="679"/>
      <c r="AR10" s="672"/>
      <c r="AS10" s="672"/>
      <c r="AT10" s="673"/>
      <c r="AU10" s="674"/>
      <c r="AV10" s="674"/>
      <c r="BC10" s="375"/>
      <c r="BD10" s="308"/>
      <c r="BE10" s="308"/>
      <c r="BF10" s="308"/>
      <c r="BG10" s="308"/>
      <c r="BH10" s="376"/>
    </row>
    <row r="11" spans="2:60" ht="15" customHeight="1">
      <c r="B11" s="548"/>
      <c r="C11" s="549"/>
      <c r="D11" s="550"/>
      <c r="E11" s="553"/>
      <c r="F11" s="642"/>
      <c r="G11" s="323"/>
      <c r="H11" s="222"/>
      <c r="I11" s="208"/>
      <c r="J11" s="644"/>
      <c r="K11" s="557"/>
      <c r="L11" s="558"/>
      <c r="M11" s="462"/>
      <c r="N11" s="457"/>
      <c r="O11" s="457"/>
      <c r="P11" s="457"/>
      <c r="Q11" s="463"/>
      <c r="R11" s="561"/>
      <c r="S11" s="562"/>
      <c r="T11" s="308"/>
      <c r="U11" s="308"/>
      <c r="V11" s="429" t="s">
        <v>107</v>
      </c>
      <c r="W11" s="487">
        <v>1000</v>
      </c>
      <c r="X11" s="394"/>
      <c r="Y11" s="393">
        <f t="shared" si="4"/>
        <v>1000</v>
      </c>
      <c r="Z11" s="392" t="s">
        <v>30</v>
      </c>
      <c r="AA11" s="486">
        <f>SUMIFS(E12:E243,K12:K243,"C6")</f>
        <v>1708.83</v>
      </c>
      <c r="AB11" s="394">
        <f>SUMIFS(S12:S243,K12:K243,"C6")</f>
        <v>0</v>
      </c>
      <c r="AC11" s="451">
        <f t="shared" si="5"/>
        <v>1708.83</v>
      </c>
      <c r="AD11" s="500" t="str">
        <f>IF(AU11=0,"",IF(AC11=AU11,"P","O"))</f>
        <v>P</v>
      </c>
      <c r="AE11" s="308"/>
      <c r="AF11" s="200" t="str">
        <f t="shared" si="0"/>
        <v/>
      </c>
      <c r="AG11" s="320" t="str">
        <f t="shared" si="2"/>
        <v/>
      </c>
      <c r="AH11" s="33" t="str">
        <f t="shared" si="3"/>
        <v/>
      </c>
      <c r="AI11" s="99" t="str">
        <f t="shared" si="1"/>
        <v/>
      </c>
      <c r="AJ11" s="121"/>
      <c r="AK11" s="42"/>
      <c r="AL11" s="163"/>
      <c r="AM11" s="48"/>
      <c r="AP11" s="677" t="s">
        <v>8</v>
      </c>
      <c r="AQ11" s="669">
        <f>AJ174</f>
        <v>1708.83</v>
      </c>
      <c r="AR11" s="671"/>
      <c r="AS11" s="671">
        <f t="shared" ref="AS11" si="10">AQ11-AR11</f>
        <v>1708.83</v>
      </c>
      <c r="AT11" s="673" t="str">
        <f t="shared" ref="AT11" si="11">IF(AND(AS11=0,AU11=0),"",IF(AS11=AU11,"P","O"))</f>
        <v>P</v>
      </c>
      <c r="AU11" s="687">
        <v>1708.83</v>
      </c>
      <c r="AV11" s="687"/>
      <c r="BC11" s="378"/>
      <c r="BD11" s="379"/>
      <c r="BE11" s="380"/>
      <c r="BF11" s="381"/>
      <c r="BG11" s="381"/>
      <c r="BH11" s="382"/>
    </row>
    <row r="12" spans="2:60" ht="15" customHeight="1">
      <c r="B12" s="337">
        <v>560</v>
      </c>
      <c r="C12" s="191">
        <v>46249</v>
      </c>
      <c r="D12" s="56" t="s">
        <v>138</v>
      </c>
      <c r="E12" s="58">
        <f>IF(OR(B12="",F12="Pago"),"",B12)</f>
        <v>560</v>
      </c>
      <c r="F12" s="351" t="s">
        <v>135</v>
      </c>
      <c r="G12" s="341">
        <f t="shared" ref="G12:G16" si="12">IF(B12="","",B12+C12)</f>
        <v>46809</v>
      </c>
      <c r="H12" s="342" t="str">
        <f>IFERROR(VLOOKUP(G12,$AG$5:$AG$174,1,0),"")</f>
        <v/>
      </c>
      <c r="I12" s="341" t="str">
        <f>IF(H12="","","FIXO")</f>
        <v/>
      </c>
      <c r="J12" s="386" t="s">
        <v>94</v>
      </c>
      <c r="K12" s="385" t="s">
        <v>118</v>
      </c>
      <c r="L12" s="384" t="str">
        <f t="shared" ref="L12:L16" si="13">IF(K12="AV","8",IF(AND(G12="",H12=""),"",IF(G12=H12,"P",IF(G12&lt;&gt;H12,"O"))))</f>
        <v>8</v>
      </c>
      <c r="M12" s="465">
        <f>IF(K12="AV",1,0)</f>
        <v>1</v>
      </c>
      <c r="N12" s="458">
        <f>IF(K12="IT",1,0)</f>
        <v>0</v>
      </c>
      <c r="O12" s="458">
        <f>IF(K12="IT2",1,0)</f>
        <v>0</v>
      </c>
      <c r="P12" s="458">
        <f>IF(K12="ITP",1,0)</f>
        <v>0</v>
      </c>
      <c r="Q12" s="458">
        <f>IF(K12="C6",1,0)</f>
        <v>0</v>
      </c>
      <c r="R12" s="365"/>
      <c r="S12" s="347" t="str">
        <f>IF(F12="Pago",B12,"")</f>
        <v/>
      </c>
      <c r="T12" s="308"/>
      <c r="U12" s="308"/>
      <c r="V12" s="430" t="s">
        <v>5</v>
      </c>
      <c r="W12" s="487"/>
      <c r="X12" s="394"/>
      <c r="Y12" s="393">
        <f t="shared" si="4"/>
        <v>0</v>
      </c>
      <c r="Z12" s="447" t="s">
        <v>33</v>
      </c>
      <c r="AA12" s="448">
        <f>SUM(X26:X41)</f>
        <v>1380.9099999999999</v>
      </c>
      <c r="AB12" s="449"/>
      <c r="AC12" s="450">
        <f t="shared" si="5"/>
        <v>1380.9099999999999</v>
      </c>
      <c r="AD12" s="497"/>
      <c r="AE12" s="308"/>
      <c r="AF12" s="200" t="str">
        <f t="shared" si="0"/>
        <v/>
      </c>
      <c r="AG12" s="320" t="str">
        <f t="shared" si="2"/>
        <v/>
      </c>
      <c r="AH12" s="33" t="str">
        <f t="shared" si="3"/>
        <v/>
      </c>
      <c r="AI12" s="99" t="str">
        <f t="shared" si="1"/>
        <v/>
      </c>
      <c r="AJ12" s="121"/>
      <c r="AK12" s="42"/>
      <c r="AL12" s="163"/>
      <c r="AM12" s="48"/>
      <c r="AP12" s="678"/>
      <c r="AQ12" s="670"/>
      <c r="AR12" s="672"/>
      <c r="AS12" s="672"/>
      <c r="AT12" s="673"/>
      <c r="AU12" s="687"/>
      <c r="AV12" s="687"/>
    </row>
    <row r="13" spans="2:60" ht="15" customHeight="1">
      <c r="B13" s="337">
        <v>80</v>
      </c>
      <c r="C13" s="191">
        <v>46254</v>
      </c>
      <c r="D13" s="56" t="s">
        <v>139</v>
      </c>
      <c r="E13" s="58">
        <f>IF(OR(B13="",F13="Pago"),"",B13)</f>
        <v>80</v>
      </c>
      <c r="F13" s="351" t="s">
        <v>135</v>
      </c>
      <c r="G13" s="343">
        <f t="shared" si="12"/>
        <v>46334</v>
      </c>
      <c r="H13" s="344" t="str">
        <f>IFERROR(VLOOKUP(G13,$AG$5:$AG$174,1,0),"")</f>
        <v/>
      </c>
      <c r="I13" s="343" t="str">
        <f t="shared" ref="I13:I57" si="14">IF(H13="","","FIXO")</f>
        <v/>
      </c>
      <c r="J13" s="387" t="s">
        <v>94</v>
      </c>
      <c r="K13" s="351" t="s">
        <v>118</v>
      </c>
      <c r="L13" s="384" t="str">
        <f t="shared" si="13"/>
        <v>8</v>
      </c>
      <c r="M13" s="465">
        <f>IF(K13="AV",MAX($M$12:M12)+1,0)</f>
        <v>2</v>
      </c>
      <c r="N13" s="458">
        <f>IF(K13="IT",MAX($N$12:N12)+1,0)</f>
        <v>0</v>
      </c>
      <c r="O13" s="458">
        <f>IF(K13="IT2",MAX($O$12:O12)+1,0)</f>
        <v>0</v>
      </c>
      <c r="P13" s="458">
        <f>IF(K13="ITP",MAX($P$12:P12)+1,0)</f>
        <v>0</v>
      </c>
      <c r="Q13" s="458">
        <f>IF(K13="C6",MAX($Q$12:Q12)+1,0)</f>
        <v>0</v>
      </c>
      <c r="R13" s="365"/>
      <c r="S13" s="348" t="str">
        <f>IF(F13="Pago",B13,"")</f>
        <v/>
      </c>
      <c r="T13" s="308"/>
      <c r="U13" s="308"/>
      <c r="V13" s="430" t="s">
        <v>10</v>
      </c>
      <c r="W13" s="487">
        <f>T195</f>
        <v>1387.9599999999998</v>
      </c>
      <c r="X13" s="394"/>
      <c r="Y13" s="393">
        <f t="shared" si="4"/>
        <v>1387.9599999999998</v>
      </c>
      <c r="Z13" s="433"/>
      <c r="AA13" s="489"/>
      <c r="AB13" s="394"/>
      <c r="AC13" s="393">
        <f t="shared" ref="AC13:AC16" si="15">SUM(AA13:AB13)</f>
        <v>0</v>
      </c>
      <c r="AD13" s="497"/>
      <c r="AE13" s="308"/>
      <c r="AF13" s="200" t="str">
        <f t="shared" si="0"/>
        <v/>
      </c>
      <c r="AG13" s="320" t="str">
        <f t="shared" si="2"/>
        <v/>
      </c>
      <c r="AH13" s="33" t="str">
        <f t="shared" si="3"/>
        <v/>
      </c>
      <c r="AI13" s="99" t="str">
        <f t="shared" si="1"/>
        <v/>
      </c>
      <c r="AJ13" s="503"/>
      <c r="AK13" s="1"/>
      <c r="AL13" s="2"/>
      <c r="AM13" s="48"/>
      <c r="AP13" s="13"/>
      <c r="AQ13" s="600">
        <f>SUM(AQ5:AQ12)</f>
        <v>7341.32</v>
      </c>
      <c r="AR13" s="688">
        <f>SUM(AR5:AR12)</f>
        <v>66.36999999999999</v>
      </c>
      <c r="AS13" s="688">
        <f>AQ13-AR13</f>
        <v>7274.95</v>
      </c>
      <c r="AU13" s="683">
        <f>SUM(AU5:AU12)</f>
        <v>7274.95</v>
      </c>
      <c r="AV13" s="684"/>
    </row>
    <row r="14" spans="2:60" ht="15" customHeight="1">
      <c r="B14" s="337">
        <v>350</v>
      </c>
      <c r="C14" s="191">
        <v>46262</v>
      </c>
      <c r="D14" s="56" t="s">
        <v>140</v>
      </c>
      <c r="E14" s="58">
        <f>IF(OR(B14="",F14="Pago"),"",B14)</f>
        <v>350</v>
      </c>
      <c r="F14" s="351" t="s">
        <v>135</v>
      </c>
      <c r="G14" s="343">
        <f t="shared" si="12"/>
        <v>46612</v>
      </c>
      <c r="H14" s="344" t="str">
        <f>IFERROR(VLOOKUP(G14,$AG$5:$AG$174,1,0),"")</f>
        <v/>
      </c>
      <c r="I14" s="343" t="str">
        <f t="shared" si="14"/>
        <v/>
      </c>
      <c r="J14" s="387" t="s">
        <v>94</v>
      </c>
      <c r="K14" s="351" t="s">
        <v>118</v>
      </c>
      <c r="L14" s="384" t="str">
        <f t="shared" si="13"/>
        <v>8</v>
      </c>
      <c r="M14" s="465">
        <f>IF(K14="AV",MAX($M$12:M13)+1,0)</f>
        <v>3</v>
      </c>
      <c r="N14" s="458">
        <f>IF(K14="IT",MAX($N$12:N13)+1,0)</f>
        <v>0</v>
      </c>
      <c r="O14" s="458">
        <f>IF(K14="IT2",MAX($O$12:O13)+1,0)</f>
        <v>0</v>
      </c>
      <c r="P14" s="458">
        <f>IF(K14="ITP",MAX($P$12:P13)+1,0)</f>
        <v>0</v>
      </c>
      <c r="Q14" s="458">
        <f>IF(K14="C6",MAX($Q$12:Q13)+1,0)</f>
        <v>0</v>
      </c>
      <c r="R14" s="365"/>
      <c r="S14" s="348" t="str">
        <f>IF(F14="Pago",B14,"")</f>
        <v/>
      </c>
      <c r="T14" s="308"/>
      <c r="U14" s="308"/>
      <c r="V14" s="431" t="s">
        <v>454</v>
      </c>
      <c r="W14" s="506">
        <v>479.74</v>
      </c>
      <c r="X14" s="394"/>
      <c r="Y14" s="393">
        <f t="shared" si="4"/>
        <v>479.74</v>
      </c>
      <c r="Z14" s="433"/>
      <c r="AA14" s="489"/>
      <c r="AB14" s="394"/>
      <c r="AC14" s="393">
        <f t="shared" si="15"/>
        <v>0</v>
      </c>
      <c r="AD14" s="497"/>
      <c r="AE14" s="308"/>
      <c r="AF14" s="200" t="str">
        <f t="shared" si="0"/>
        <v/>
      </c>
      <c r="AG14" s="320" t="str">
        <f t="shared" si="2"/>
        <v/>
      </c>
      <c r="AH14" s="33" t="str">
        <f t="shared" si="3"/>
        <v/>
      </c>
      <c r="AI14" s="99" t="str">
        <f t="shared" si="1"/>
        <v/>
      </c>
      <c r="AJ14" s="503"/>
      <c r="AK14" s="1"/>
      <c r="AL14" s="2"/>
      <c r="AM14" s="48"/>
      <c r="AP14" s="13"/>
      <c r="AQ14" s="680"/>
      <c r="AR14" s="680"/>
      <c r="AS14" s="680"/>
      <c r="AU14" s="685"/>
      <c r="AV14" s="686"/>
    </row>
    <row r="15" spans="2:60" ht="15" customHeight="1">
      <c r="B15" s="337">
        <v>936.24</v>
      </c>
      <c r="C15" s="191">
        <v>46241</v>
      </c>
      <c r="D15" s="56" t="s">
        <v>141</v>
      </c>
      <c r="E15" s="58">
        <f>IF(OR(B15="",F15="Pago"),"",B15)</f>
        <v>936.24</v>
      </c>
      <c r="F15" s="351" t="s">
        <v>135</v>
      </c>
      <c r="G15" s="343">
        <f t="shared" si="12"/>
        <v>47177.24</v>
      </c>
      <c r="H15" s="344" t="str">
        <f>IFERROR(VLOOKUP(G15,$AG$5:$AG$174,1,0),"")</f>
        <v/>
      </c>
      <c r="I15" s="343" t="str">
        <f t="shared" si="14"/>
        <v/>
      </c>
      <c r="J15" s="387" t="s">
        <v>94</v>
      </c>
      <c r="K15" s="351" t="s">
        <v>118</v>
      </c>
      <c r="L15" s="384" t="str">
        <f t="shared" si="13"/>
        <v>8</v>
      </c>
      <c r="M15" s="465">
        <f>IF(K15="AV",MAX($M$12:M14)+1,0)</f>
        <v>4</v>
      </c>
      <c r="N15" s="458">
        <f>IF(K15="IT",MAX($N$12:N14)+1,0)</f>
        <v>0</v>
      </c>
      <c r="O15" s="458">
        <f>IF(K15="IT2",MAX($O$12:O14)+1,0)</f>
        <v>0</v>
      </c>
      <c r="P15" s="458">
        <f>IF(K15="ITP",MAX($P$12:P14)+1,0)</f>
        <v>0</v>
      </c>
      <c r="Q15" s="458">
        <f>IF(K15="C6",MAX($Q$12:Q14)+1,0)</f>
        <v>0</v>
      </c>
      <c r="R15" s="365"/>
      <c r="S15" s="348" t="str">
        <f>IF(F15="Pago",B15,"")</f>
        <v/>
      </c>
      <c r="T15" s="312"/>
      <c r="U15" s="312"/>
      <c r="V15" s="431"/>
      <c r="W15" s="506"/>
      <c r="X15" s="394"/>
      <c r="Y15" s="393">
        <f t="shared" si="4"/>
        <v>0</v>
      </c>
      <c r="Z15" s="433"/>
      <c r="AA15" s="489"/>
      <c r="AB15" s="394"/>
      <c r="AC15" s="393">
        <f t="shared" si="15"/>
        <v>0</v>
      </c>
      <c r="AD15" s="497"/>
      <c r="AE15" s="308"/>
      <c r="AF15" s="200" t="str">
        <f t="shared" si="0"/>
        <v/>
      </c>
      <c r="AG15" s="320" t="str">
        <f t="shared" si="2"/>
        <v/>
      </c>
      <c r="AH15" s="33" t="str">
        <f t="shared" si="3"/>
        <v/>
      </c>
      <c r="AI15" s="99" t="str">
        <f t="shared" si="1"/>
        <v/>
      </c>
      <c r="AJ15" s="503"/>
      <c r="AK15" s="1"/>
      <c r="AL15" s="2"/>
      <c r="AM15" s="48"/>
      <c r="AP15" s="13"/>
    </row>
    <row r="16" spans="2:60" ht="15" customHeight="1">
      <c r="B16" s="388">
        <v>2139</v>
      </c>
      <c r="C16" s="215">
        <v>46241</v>
      </c>
      <c r="D16" s="66" t="s">
        <v>142</v>
      </c>
      <c r="E16" s="67">
        <f>IF(OR(B16="",F16="Pago"),"",B16)</f>
        <v>2139</v>
      </c>
      <c r="F16" s="356" t="s">
        <v>135</v>
      </c>
      <c r="G16" s="345">
        <f t="shared" si="12"/>
        <v>48380</v>
      </c>
      <c r="H16" s="346" t="str">
        <f>IFERROR(VLOOKUP(G16,$AG$5:$AG$174,1,0),"")</f>
        <v/>
      </c>
      <c r="I16" s="345" t="str">
        <f t="shared" si="14"/>
        <v/>
      </c>
      <c r="J16" s="357" t="s">
        <v>94</v>
      </c>
      <c r="K16" s="356" t="s">
        <v>118</v>
      </c>
      <c r="L16" s="359" t="str">
        <f t="shared" si="13"/>
        <v>8</v>
      </c>
      <c r="M16" s="466">
        <f>IF(K16="AV",MAX($M$12:M15)+1,0)</f>
        <v>5</v>
      </c>
      <c r="N16" s="459">
        <f>IF(K16="IT",MAX($N$12:N15)+1,0)</f>
        <v>0</v>
      </c>
      <c r="O16" s="459">
        <f>IF(K16="IT2",MAX($O$12:O15)+1,0)</f>
        <v>0</v>
      </c>
      <c r="P16" s="459">
        <f>IF(K16="ITP",MAX($P$12:P15)+1,0)</f>
        <v>0</v>
      </c>
      <c r="Q16" s="459">
        <f>IF(K16="C6",MAX($Q$12:Q15)+1,0)</f>
        <v>0</v>
      </c>
      <c r="R16" s="364"/>
      <c r="S16" s="349" t="str">
        <f>IF(F16="Pago",B16,"")</f>
        <v/>
      </c>
      <c r="T16" s="308"/>
      <c r="U16" s="308"/>
      <c r="V16" s="431"/>
      <c r="W16" s="507"/>
      <c r="X16" s="395"/>
      <c r="Y16" s="391">
        <f t="shared" si="4"/>
        <v>0</v>
      </c>
      <c r="Z16" s="434"/>
      <c r="AA16" s="490"/>
      <c r="AB16" s="396"/>
      <c r="AC16" s="391">
        <f t="shared" si="15"/>
        <v>0</v>
      </c>
      <c r="AD16" s="497"/>
      <c r="AE16" s="308"/>
      <c r="AF16" s="200" t="str">
        <f t="shared" si="0"/>
        <v/>
      </c>
      <c r="AG16" s="320" t="str">
        <f t="shared" si="2"/>
        <v/>
      </c>
      <c r="AH16" s="33" t="str">
        <f t="shared" si="3"/>
        <v/>
      </c>
      <c r="AI16" s="99" t="str">
        <f t="shared" si="1"/>
        <v/>
      </c>
      <c r="AJ16" s="503"/>
      <c r="AK16" s="1"/>
      <c r="AL16" s="2"/>
      <c r="AM16" s="48"/>
      <c r="AP16" s="13"/>
    </row>
    <row r="17" spans="2:58" ht="15" customHeight="1">
      <c r="B17" s="308"/>
      <c r="C17" s="308"/>
      <c r="D17" s="308"/>
      <c r="E17" s="308"/>
      <c r="F17" s="308"/>
      <c r="G17" s="308"/>
      <c r="H17" s="308"/>
      <c r="I17" s="308"/>
      <c r="J17" s="308"/>
      <c r="K17" s="308"/>
      <c r="L17" s="308"/>
      <c r="M17" s="308"/>
      <c r="N17" s="308"/>
      <c r="O17" s="308"/>
      <c r="P17" s="308"/>
      <c r="Q17" s="308"/>
      <c r="R17" s="308"/>
      <c r="S17" s="308"/>
      <c r="T17" s="308"/>
      <c r="U17" s="308"/>
      <c r="V17" s="431"/>
      <c r="W17" s="597">
        <f>SUM(W6:W16)</f>
        <v>13787.699999999999</v>
      </c>
      <c r="X17" s="595">
        <f>SUM(X6:X16)</f>
        <v>0</v>
      </c>
      <c r="Y17" s="595">
        <f>SUM(Y6:Y16)</f>
        <v>13787.699999999999</v>
      </c>
      <c r="Z17" s="435"/>
      <c r="AA17" s="597">
        <f>SUM(AA7:AA16)</f>
        <v>15163.539999999997</v>
      </c>
      <c r="AB17" s="595">
        <f>SUM(AB7:AB16)</f>
        <v>0</v>
      </c>
      <c r="AC17" s="595">
        <f>SUM(AC7:AC16)</f>
        <v>15163.539999999997</v>
      </c>
      <c r="AD17" s="497"/>
      <c r="AE17" s="308"/>
      <c r="AF17" s="200" t="str">
        <f t="shared" si="0"/>
        <v/>
      </c>
      <c r="AG17" s="320" t="str">
        <f t="shared" si="2"/>
        <v/>
      </c>
      <c r="AH17" s="33" t="str">
        <f t="shared" si="3"/>
        <v/>
      </c>
      <c r="AI17" s="99" t="str">
        <f t="shared" si="1"/>
        <v/>
      </c>
      <c r="AJ17" s="503"/>
      <c r="AK17" s="1"/>
      <c r="AL17" s="2"/>
      <c r="AM17" s="48"/>
      <c r="AP17" s="13"/>
    </row>
    <row r="18" spans="2:58" ht="15" customHeight="1">
      <c r="B18" s="545" t="s">
        <v>128</v>
      </c>
      <c r="C18" s="546"/>
      <c r="D18" s="547"/>
      <c r="E18" s="551">
        <f>SUM(E20:E24)</f>
        <v>1800</v>
      </c>
      <c r="F18" s="552"/>
      <c r="G18" s="322"/>
      <c r="H18" s="220" t="str">
        <f t="shared" ref="H18:H24" si="16">IFERROR(VLOOKUP(G18,$AG$5:$AG$174,1,0),"")</f>
        <v/>
      </c>
      <c r="I18" s="342" t="str">
        <f t="shared" si="14"/>
        <v/>
      </c>
      <c r="J18" s="555">
        <f>SUM(S20:S24)</f>
        <v>0</v>
      </c>
      <c r="K18" s="555"/>
      <c r="L18" s="556"/>
      <c r="M18" s="460"/>
      <c r="N18" s="456"/>
      <c r="O18" s="456"/>
      <c r="P18" s="456"/>
      <c r="Q18" s="461"/>
      <c r="R18" s="559">
        <f>SUM(E18,J18)</f>
        <v>1800</v>
      </c>
      <c r="S18" s="560"/>
      <c r="T18" s="308"/>
      <c r="U18" s="308"/>
      <c r="V18" s="432"/>
      <c r="W18" s="598"/>
      <c r="X18" s="596"/>
      <c r="Y18" s="596"/>
      <c r="Z18" s="436"/>
      <c r="AA18" s="598"/>
      <c r="AB18" s="596"/>
      <c r="AC18" s="596"/>
      <c r="AD18" s="497"/>
      <c r="AE18" s="308"/>
      <c r="AF18" s="200" t="str">
        <f t="shared" si="0"/>
        <v/>
      </c>
      <c r="AG18" s="320" t="str">
        <f t="shared" si="2"/>
        <v/>
      </c>
      <c r="AH18" s="33" t="str">
        <f t="shared" si="3"/>
        <v/>
      </c>
      <c r="AI18" s="99" t="str">
        <f t="shared" si="1"/>
        <v/>
      </c>
      <c r="AJ18" s="503"/>
      <c r="AK18" s="1"/>
      <c r="AL18" s="2"/>
      <c r="AM18" s="48"/>
    </row>
    <row r="19" spans="2:58" ht="15" customHeight="1">
      <c r="B19" s="548"/>
      <c r="C19" s="549"/>
      <c r="D19" s="550"/>
      <c r="E19" s="553"/>
      <c r="F19" s="554"/>
      <c r="G19" s="323"/>
      <c r="H19" s="222" t="str">
        <f t="shared" si="16"/>
        <v/>
      </c>
      <c r="I19" s="346" t="str">
        <f t="shared" si="14"/>
        <v/>
      </c>
      <c r="J19" s="557"/>
      <c r="K19" s="557"/>
      <c r="L19" s="558"/>
      <c r="M19" s="462"/>
      <c r="N19" s="457"/>
      <c r="O19" s="457"/>
      <c r="P19" s="457"/>
      <c r="Q19" s="463"/>
      <c r="R19" s="561"/>
      <c r="S19" s="562"/>
      <c r="T19" s="308"/>
      <c r="U19" s="308"/>
      <c r="V19" s="308"/>
      <c r="W19" s="308"/>
      <c r="X19" s="308"/>
      <c r="Y19" s="308"/>
      <c r="Z19" s="308"/>
      <c r="AA19" s="336"/>
      <c r="AB19" s="308"/>
      <c r="AC19" s="308"/>
      <c r="AD19" s="497"/>
      <c r="AE19" s="308"/>
      <c r="AF19" s="200" t="str">
        <f t="shared" si="0"/>
        <v/>
      </c>
      <c r="AG19" s="320" t="str">
        <f t="shared" si="2"/>
        <v/>
      </c>
      <c r="AH19" s="33" t="str">
        <f t="shared" si="3"/>
        <v/>
      </c>
      <c r="AI19" s="99" t="str">
        <f t="shared" si="1"/>
        <v/>
      </c>
      <c r="AJ19" s="503"/>
      <c r="AK19" s="1"/>
      <c r="AL19" s="2"/>
      <c r="AM19" s="48"/>
      <c r="AV19" s="16"/>
    </row>
    <row r="20" spans="2:58" ht="15" customHeight="1">
      <c r="B20" s="337">
        <v>1000</v>
      </c>
      <c r="C20" s="191">
        <v>46249</v>
      </c>
      <c r="D20" s="56" t="s">
        <v>36</v>
      </c>
      <c r="E20" s="58">
        <f>IF(OR(B20="",F20="Pago"),"",B20)</f>
        <v>1000</v>
      </c>
      <c r="F20" s="351" t="s">
        <v>135</v>
      </c>
      <c r="G20" s="343">
        <f>IF(B20="","",B20+C20)</f>
        <v>47249</v>
      </c>
      <c r="H20" s="344" t="str">
        <f t="shared" si="16"/>
        <v/>
      </c>
      <c r="I20" s="343" t="str">
        <f>IF(H20="","","DEPOSITAR")</f>
        <v/>
      </c>
      <c r="J20" s="383" t="s">
        <v>94</v>
      </c>
      <c r="K20" s="385" t="s">
        <v>118</v>
      </c>
      <c r="L20" s="384" t="str">
        <f>IF(K20="AV","8",IF(AND(G20="",H20=""),"",IF(G20=H20,"P",IF(G20&lt;&gt;H20,"O"))))</f>
        <v>8</v>
      </c>
      <c r="M20" s="465">
        <f>IF(K20="AV",MAX($M$12:M19)+1,0)</f>
        <v>6</v>
      </c>
      <c r="N20" s="458">
        <f>IF(K20="IT",MAX($N$12:N19)+1,0)</f>
        <v>0</v>
      </c>
      <c r="O20" s="458">
        <f>IF(K20="IT2",MAX($O$12:O19)+1,0)</f>
        <v>0</v>
      </c>
      <c r="P20" s="458">
        <f>IF(K20="ITP",MAX($P$12:P19)+1,0)</f>
        <v>0</v>
      </c>
      <c r="Q20" s="458">
        <f>IF(K20="C6",MAX($Q$12:Q19)+1,0)</f>
        <v>0</v>
      </c>
      <c r="R20" s="354"/>
      <c r="S20" s="347" t="str">
        <f>IF(F20="Pago",B20,"")</f>
        <v/>
      </c>
      <c r="T20" s="308"/>
      <c r="U20" s="308"/>
      <c r="V20" s="580">
        <f>W17-AA17</f>
        <v>-1375.8399999999983</v>
      </c>
      <c r="W20" s="581"/>
      <c r="X20" s="581"/>
      <c r="Y20" s="581"/>
      <c r="Z20" s="581"/>
      <c r="AA20" s="581"/>
      <c r="AB20" s="581"/>
      <c r="AC20" s="582"/>
      <c r="AD20" s="497"/>
      <c r="AE20" s="308"/>
      <c r="AF20" s="200" t="str">
        <f t="shared" si="0"/>
        <v/>
      </c>
      <c r="AG20" s="320" t="str">
        <f t="shared" si="2"/>
        <v/>
      </c>
      <c r="AH20" s="33" t="str">
        <f t="shared" si="3"/>
        <v/>
      </c>
      <c r="AI20" s="99" t="str">
        <f t="shared" si="1"/>
        <v/>
      </c>
      <c r="AJ20" s="503"/>
      <c r="AK20" s="1"/>
      <c r="AL20" s="2"/>
      <c r="AM20" s="48"/>
      <c r="AP20" s="13"/>
      <c r="AU20" s="16"/>
      <c r="AV20" s="16"/>
    </row>
    <row r="21" spans="2:58" ht="15" customHeight="1">
      <c r="B21" s="337">
        <v>500</v>
      </c>
      <c r="C21" s="191">
        <v>46254</v>
      </c>
      <c r="D21" s="56" t="s">
        <v>8</v>
      </c>
      <c r="E21" s="58">
        <f>IF(OR(B21="",F21="Pago"),"",B21)</f>
        <v>500</v>
      </c>
      <c r="F21" s="351" t="s">
        <v>135</v>
      </c>
      <c r="G21" s="343">
        <f>IF(B21="","",B21+C21)</f>
        <v>46754</v>
      </c>
      <c r="H21" s="344" t="str">
        <f t="shared" si="16"/>
        <v/>
      </c>
      <c r="I21" s="343" t="str">
        <f t="shared" ref="I21:I24" si="17">IF(H21="","","DEPOSITAR")</f>
        <v/>
      </c>
      <c r="J21" s="383" t="s">
        <v>94</v>
      </c>
      <c r="K21" s="351" t="s">
        <v>118</v>
      </c>
      <c r="L21" s="384" t="str">
        <f>IF(K21="AV","8",IF(AND(G21="",H21=""),"",IF(G21=H21,"P",IF(G21&lt;&gt;H21,"O"))))</f>
        <v>8</v>
      </c>
      <c r="M21" s="465">
        <f>IF(K21="AV",MAX($M$12:M20)+1,0)</f>
        <v>7</v>
      </c>
      <c r="N21" s="458">
        <f>IF(K21="IT",MAX($N$12:N20)+1,0)</f>
        <v>0</v>
      </c>
      <c r="O21" s="458">
        <f>IF(K21="IT2",MAX($O$12:O20)+1,0)</f>
        <v>0</v>
      </c>
      <c r="P21" s="458">
        <f>IF(K21="ITP",MAX($P$12:P20)+1,0)</f>
        <v>0</v>
      </c>
      <c r="Q21" s="458">
        <f>IF(K21="C6",MAX($Q$12:Q20)+1,0)</f>
        <v>0</v>
      </c>
      <c r="R21" s="354"/>
      <c r="S21" s="348" t="str">
        <f>IF(F21="Pago",B21,"")</f>
        <v/>
      </c>
      <c r="T21" s="308"/>
      <c r="U21" s="308"/>
      <c r="V21" s="583"/>
      <c r="W21" s="584"/>
      <c r="X21" s="584"/>
      <c r="Y21" s="584"/>
      <c r="Z21" s="584"/>
      <c r="AA21" s="584"/>
      <c r="AB21" s="584"/>
      <c r="AC21" s="585"/>
      <c r="AD21" s="497"/>
      <c r="AE21" s="308"/>
      <c r="AF21" s="200" t="str">
        <f t="shared" si="0"/>
        <v/>
      </c>
      <c r="AG21" s="320" t="str">
        <f t="shared" si="2"/>
        <v/>
      </c>
      <c r="AH21" s="33" t="str">
        <f t="shared" si="3"/>
        <v/>
      </c>
      <c r="AI21" s="99" t="str">
        <f t="shared" si="1"/>
        <v/>
      </c>
      <c r="AJ21" s="503"/>
      <c r="AK21" s="1"/>
      <c r="AL21" s="2"/>
      <c r="AM21" s="48"/>
      <c r="AP21" s="13"/>
    </row>
    <row r="22" spans="2:58" ht="15" customHeight="1">
      <c r="B22" s="337">
        <v>100</v>
      </c>
      <c r="C22" s="191">
        <v>46262</v>
      </c>
      <c r="D22" s="56" t="s">
        <v>80</v>
      </c>
      <c r="E22" s="58">
        <f>IF(OR(B22="",F22="Pago"),"",B22)</f>
        <v>100</v>
      </c>
      <c r="F22" s="351" t="s">
        <v>135</v>
      </c>
      <c r="G22" s="343">
        <f>IF(B22="","",B22+C22)</f>
        <v>46362</v>
      </c>
      <c r="H22" s="344">
        <f t="shared" si="16"/>
        <v>46362</v>
      </c>
      <c r="I22" s="343" t="str">
        <f t="shared" si="17"/>
        <v>DEPOSITAR</v>
      </c>
      <c r="J22" s="383" t="s">
        <v>94</v>
      </c>
      <c r="K22" s="351" t="s">
        <v>118</v>
      </c>
      <c r="L22" s="384" t="str">
        <f>IF(K22="AV","8",IF(AND(G22="",H22=""),"",IF(G22=H22,"P",IF(G22&lt;&gt;H22,"O"))))</f>
        <v>8</v>
      </c>
      <c r="M22" s="465">
        <f>IF(K22="AV",MAX($M$12:M21)+1,0)</f>
        <v>8</v>
      </c>
      <c r="N22" s="458">
        <f>IF(K22="IT",MAX($N$12:N21)+1,0)</f>
        <v>0</v>
      </c>
      <c r="O22" s="458">
        <f>IF(K22="IT2",MAX($O$12:O21)+1,0)</f>
        <v>0</v>
      </c>
      <c r="P22" s="458">
        <f>IF(K22="ITP",MAX($P$12:P21)+1,0)</f>
        <v>0</v>
      </c>
      <c r="Q22" s="458">
        <f>IF(K22="C6",MAX($Q$12:Q21)+1,0)</f>
        <v>0</v>
      </c>
      <c r="R22" s="354"/>
      <c r="S22" s="348" t="str">
        <f>IF(F22="Pago",B22,"")</f>
        <v/>
      </c>
      <c r="T22" s="308"/>
      <c r="U22" s="308"/>
      <c r="V22" s="308"/>
      <c r="W22" s="308"/>
      <c r="X22" s="308"/>
      <c r="Y22" s="308"/>
      <c r="Z22" s="308"/>
      <c r="AA22" s="308"/>
      <c r="AB22" s="308"/>
      <c r="AC22" s="308"/>
      <c r="AD22" s="497"/>
      <c r="AE22" s="308"/>
      <c r="AF22" s="200" t="str">
        <f t="shared" si="0"/>
        <v/>
      </c>
      <c r="AG22" s="320" t="str">
        <f t="shared" si="2"/>
        <v/>
      </c>
      <c r="AH22" s="33" t="str">
        <f t="shared" si="3"/>
        <v/>
      </c>
      <c r="AI22" s="99" t="str">
        <f t="shared" si="1"/>
        <v/>
      </c>
      <c r="AJ22" s="503"/>
      <c r="AK22" s="1"/>
      <c r="AL22" s="2"/>
      <c r="AM22" s="48"/>
      <c r="AP22" s="13"/>
    </row>
    <row r="23" spans="2:58" ht="15" customHeight="1">
      <c r="B23" s="337">
        <v>100</v>
      </c>
      <c r="C23" s="191">
        <v>46241</v>
      </c>
      <c r="D23" s="56" t="s">
        <v>109</v>
      </c>
      <c r="E23" s="58">
        <f>IF(OR(B23="",F23="Pago"),"",B23)</f>
        <v>100</v>
      </c>
      <c r="F23" s="351" t="s">
        <v>135</v>
      </c>
      <c r="G23" s="343">
        <f>IF(B23="","",B23+C23)</f>
        <v>46341</v>
      </c>
      <c r="H23" s="344" t="str">
        <f t="shared" si="16"/>
        <v/>
      </c>
      <c r="I23" s="343" t="str">
        <f t="shared" si="17"/>
        <v/>
      </c>
      <c r="J23" s="383" t="s">
        <v>94</v>
      </c>
      <c r="K23" s="351" t="s">
        <v>118</v>
      </c>
      <c r="L23" s="384" t="str">
        <f>IF(K23="AV","8",IF(AND(G23="",H23=""),"",IF(G23=H23,"P",IF(G23&lt;&gt;H23,"O"))))</f>
        <v>8</v>
      </c>
      <c r="M23" s="465">
        <f>IF(K23="AV",MAX($M$12:M22)+1,0)</f>
        <v>9</v>
      </c>
      <c r="N23" s="458">
        <f>IF(K23="IT",MAX($N$12:N22)+1,0)</f>
        <v>0</v>
      </c>
      <c r="O23" s="458">
        <f>IF(K23="IT2",MAX($O$12:O22)+1,0)</f>
        <v>0</v>
      </c>
      <c r="P23" s="458">
        <f>IF(K23="ITP",MAX($P$12:P22)+1,0)</f>
        <v>0</v>
      </c>
      <c r="Q23" s="458">
        <f>IF(K23="C6",MAX($Q$12:Q22)+1,0)</f>
        <v>0</v>
      </c>
      <c r="R23" s="354"/>
      <c r="S23" s="348" t="str">
        <f>IF(F23="Pago",B23,"")</f>
        <v/>
      </c>
      <c r="T23" s="308"/>
      <c r="U23" s="308"/>
      <c r="V23" s="308"/>
      <c r="W23" s="308"/>
      <c r="X23" s="308"/>
      <c r="Y23" s="308"/>
      <c r="Z23" s="308"/>
      <c r="AA23" s="308"/>
      <c r="AB23" s="308"/>
      <c r="AC23" s="308"/>
      <c r="AD23" s="497"/>
      <c r="AE23" s="308"/>
      <c r="AF23" s="200" t="str">
        <f t="shared" si="0"/>
        <v/>
      </c>
      <c r="AG23" s="320" t="str">
        <f t="shared" si="2"/>
        <v/>
      </c>
      <c r="AH23" s="33" t="str">
        <f t="shared" si="3"/>
        <v/>
      </c>
      <c r="AI23" s="99" t="str">
        <f t="shared" si="1"/>
        <v/>
      </c>
      <c r="AJ23" s="503"/>
      <c r="AK23" s="1"/>
      <c r="AL23" s="2"/>
      <c r="AM23" s="48"/>
      <c r="AP23" s="13"/>
    </row>
    <row r="24" spans="2:58" ht="15" customHeight="1">
      <c r="B24" s="388">
        <v>100</v>
      </c>
      <c r="C24" s="215">
        <v>46241</v>
      </c>
      <c r="D24" s="66" t="s">
        <v>110</v>
      </c>
      <c r="E24" s="67">
        <f>IF(OR(B24="",F24="Pago"),"",B24)</f>
        <v>100</v>
      </c>
      <c r="F24" s="356" t="s">
        <v>135</v>
      </c>
      <c r="G24" s="452">
        <f>IF(B24="","",B24+C24)</f>
        <v>46341</v>
      </c>
      <c r="H24" s="345" t="str">
        <f t="shared" si="16"/>
        <v/>
      </c>
      <c r="I24" s="346" t="str">
        <f t="shared" si="17"/>
        <v/>
      </c>
      <c r="J24" s="358" t="s">
        <v>94</v>
      </c>
      <c r="K24" s="356" t="s">
        <v>118</v>
      </c>
      <c r="L24" s="359" t="str">
        <f>IF(K24="AV","8",IF(AND(G24="",H24=""),"",IF(G24=H24,"P",IF(G24&lt;&gt;H24,"O"))))</f>
        <v>8</v>
      </c>
      <c r="M24" s="466">
        <f>IF(K24="AV",MAX($M$12:M23)+1,0)</f>
        <v>10</v>
      </c>
      <c r="N24" s="459">
        <f>IF(K24="IT",MAX($N$12:N23)+1,0)</f>
        <v>0</v>
      </c>
      <c r="O24" s="459">
        <f>IF(K24="IT2",MAX($O$12:O23)+1,0)</f>
        <v>0</v>
      </c>
      <c r="P24" s="459">
        <f>IF(K24="ITP",MAX($P$12:P23)+1,0)</f>
        <v>0</v>
      </c>
      <c r="Q24" s="459">
        <f>IF(K24="C6",MAX($Q$12:Q23)+1,0)</f>
        <v>0</v>
      </c>
      <c r="R24" s="364"/>
      <c r="S24" s="349" t="str">
        <f>IF(F24="Pago",B24,"")</f>
        <v/>
      </c>
      <c r="T24" s="308"/>
      <c r="U24" s="308"/>
      <c r="V24" s="586" t="s">
        <v>306</v>
      </c>
      <c r="W24" s="588" t="s">
        <v>307</v>
      </c>
      <c r="X24" s="590" t="s">
        <v>87</v>
      </c>
      <c r="Y24" s="591" t="s">
        <v>305</v>
      </c>
      <c r="Z24" s="593" t="s">
        <v>90</v>
      </c>
      <c r="AA24" s="542" t="s">
        <v>95</v>
      </c>
      <c r="AB24" s="542" t="s">
        <v>99</v>
      </c>
      <c r="AC24" s="542" t="s">
        <v>8</v>
      </c>
      <c r="AD24" s="497"/>
      <c r="AE24" s="308"/>
      <c r="AF24" s="200" t="str">
        <f t="shared" si="0"/>
        <v/>
      </c>
      <c r="AG24" s="320" t="str">
        <f t="shared" si="2"/>
        <v/>
      </c>
      <c r="AH24" s="33" t="str">
        <f t="shared" si="3"/>
        <v/>
      </c>
      <c r="AI24" s="99" t="str">
        <f t="shared" si="1"/>
        <v/>
      </c>
      <c r="AJ24" s="503"/>
      <c r="AK24" s="1"/>
      <c r="AL24" s="2"/>
      <c r="AM24" s="48"/>
      <c r="AP24" s="13"/>
    </row>
    <row r="25" spans="2:58" ht="15" customHeight="1">
      <c r="B25" s="308"/>
      <c r="C25" s="308"/>
      <c r="D25" s="308"/>
      <c r="E25" s="308"/>
      <c r="F25" s="308"/>
      <c r="G25" s="308"/>
      <c r="H25" s="308"/>
      <c r="I25" s="308"/>
      <c r="J25" s="308"/>
      <c r="K25" s="308"/>
      <c r="L25" s="308"/>
      <c r="M25" s="308"/>
      <c r="N25" s="308"/>
      <c r="O25" s="308"/>
      <c r="P25" s="308"/>
      <c r="Q25" s="308"/>
      <c r="R25" s="308"/>
      <c r="S25" s="308"/>
      <c r="T25" s="308"/>
      <c r="U25" s="308"/>
      <c r="V25" s="587"/>
      <c r="W25" s="589"/>
      <c r="X25" s="590"/>
      <c r="Y25" s="592"/>
      <c r="Z25" s="594"/>
      <c r="AA25" s="543"/>
      <c r="AB25" s="543"/>
      <c r="AC25" s="543"/>
      <c r="AD25" s="497"/>
      <c r="AE25" s="308"/>
      <c r="AF25" s="200" t="str">
        <f t="shared" si="0"/>
        <v/>
      </c>
      <c r="AG25" s="320" t="str">
        <f t="shared" si="2"/>
        <v/>
      </c>
      <c r="AH25" s="33" t="str">
        <f t="shared" si="3"/>
        <v/>
      </c>
      <c r="AI25" s="99" t="str">
        <f t="shared" si="1"/>
        <v/>
      </c>
      <c r="AJ25" s="503"/>
      <c r="AK25" s="1"/>
      <c r="AL25" s="2"/>
      <c r="AM25" s="48"/>
      <c r="AP25" s="13"/>
    </row>
    <row r="26" spans="2:58" ht="15" customHeight="1">
      <c r="B26" s="545" t="s">
        <v>16</v>
      </c>
      <c r="C26" s="546"/>
      <c r="D26" s="547"/>
      <c r="E26" s="551">
        <f>SUM(E28:E37)</f>
        <v>223.98000000000002</v>
      </c>
      <c r="F26" s="552"/>
      <c r="G26" s="322"/>
      <c r="H26" s="220"/>
      <c r="I26" s="342" t="str">
        <f t="shared" si="14"/>
        <v/>
      </c>
      <c r="J26" s="579" t="s">
        <v>428</v>
      </c>
      <c r="K26" s="555"/>
      <c r="L26" s="556"/>
      <c r="M26" s="460"/>
      <c r="N26" s="456"/>
      <c r="O26" s="456"/>
      <c r="P26" s="456"/>
      <c r="Q26" s="461"/>
      <c r="R26" s="559">
        <f>SUM(E26,J26)</f>
        <v>223.98000000000002</v>
      </c>
      <c r="S26" s="560"/>
      <c r="T26" s="308"/>
      <c r="U26" s="308"/>
      <c r="V26" s="437" t="s">
        <v>237</v>
      </c>
      <c r="W26" s="442">
        <f>SUM(X26:AC26)</f>
        <v>4065.24</v>
      </c>
      <c r="X26" s="397"/>
      <c r="Y26" s="446">
        <f>SUMIFS($B$12:$B$16,$K$12:$K$16,"AV")</f>
        <v>4065.24</v>
      </c>
      <c r="Z26" s="397">
        <f>SUMIFS($B$12:$B$16,$K$12:$K$16,"IT")</f>
        <v>0</v>
      </c>
      <c r="AA26" s="397">
        <f>SUMIFS($B$12:$B$16,$K$12:$K$16,"IT2")</f>
        <v>0</v>
      </c>
      <c r="AB26" s="397">
        <f>SUMIFS($B$12:$B$16,$K$12:$K$16,"ITP")</f>
        <v>0</v>
      </c>
      <c r="AC26" s="397">
        <f>SUMIFS($B$12:$B$16,$K$12:$K$16,"C6")</f>
        <v>0</v>
      </c>
      <c r="AD26" s="497"/>
      <c r="AE26" s="308"/>
      <c r="AF26" s="200" t="str">
        <f t="shared" si="0"/>
        <v/>
      </c>
      <c r="AG26" s="320" t="str">
        <f t="shared" si="2"/>
        <v/>
      </c>
      <c r="AH26" s="33" t="str">
        <f t="shared" si="3"/>
        <v/>
      </c>
      <c r="AI26" s="99" t="str">
        <f t="shared" si="1"/>
        <v/>
      </c>
      <c r="AJ26" s="503"/>
      <c r="AK26" s="1"/>
      <c r="AL26" s="2"/>
      <c r="AM26" s="48"/>
      <c r="AN26" s="17"/>
      <c r="AW26" s="18"/>
      <c r="AX26" s="18"/>
      <c r="AY26" s="18"/>
      <c r="AZ26" s="18"/>
      <c r="BA26" s="18"/>
      <c r="BB26" s="18"/>
      <c r="BC26" s="18"/>
      <c r="BD26" s="3"/>
      <c r="BE26" s="5"/>
      <c r="BF26" s="5"/>
    </row>
    <row r="27" spans="2:58" ht="15" customHeight="1">
      <c r="B27" s="548"/>
      <c r="C27" s="549"/>
      <c r="D27" s="550"/>
      <c r="E27" s="553"/>
      <c r="F27" s="554"/>
      <c r="G27" s="323"/>
      <c r="H27" s="222"/>
      <c r="I27" s="346" t="str">
        <f t="shared" si="14"/>
        <v/>
      </c>
      <c r="J27" s="557"/>
      <c r="K27" s="557"/>
      <c r="L27" s="558"/>
      <c r="M27" s="462"/>
      <c r="N27" s="457"/>
      <c r="O27" s="457"/>
      <c r="P27" s="457"/>
      <c r="Q27" s="463"/>
      <c r="R27" s="561"/>
      <c r="S27" s="562"/>
      <c r="T27" s="308"/>
      <c r="U27" s="308"/>
      <c r="V27" s="437" t="s">
        <v>106</v>
      </c>
      <c r="W27" s="442">
        <f t="shared" ref="W27:W41" si="18">SUM(X27:AC27)</f>
        <v>1800</v>
      </c>
      <c r="X27" s="335"/>
      <c r="Y27" s="446">
        <f>SUMIFS($B$20:$B$24,$K$20:$K$24,"AV")</f>
        <v>1800</v>
      </c>
      <c r="Z27" s="335">
        <f>SUMIFS($B$20:$B$24,$K$20:$K$24,"IT")</f>
        <v>0</v>
      </c>
      <c r="AA27" s="335">
        <f>SUMIFS($B$20:$B$24,$K$20:$K$24,"IT2")</f>
        <v>0</v>
      </c>
      <c r="AB27" s="335">
        <f>SUMIFS($B$20:$B$24,$K$20:$K$24,"ITP")</f>
        <v>0</v>
      </c>
      <c r="AC27" s="335">
        <f>SUMIFS($B$20:$B$24,$K$20:$K$24,"C6")</f>
        <v>0</v>
      </c>
      <c r="AD27" s="497"/>
      <c r="AE27" s="308"/>
      <c r="AF27" s="200" t="str">
        <f t="shared" si="0"/>
        <v/>
      </c>
      <c r="AG27" s="320" t="str">
        <f t="shared" si="2"/>
        <v/>
      </c>
      <c r="AH27" s="33" t="str">
        <f t="shared" si="3"/>
        <v/>
      </c>
      <c r="AI27" s="99" t="str">
        <f t="shared" si="1"/>
        <v/>
      </c>
      <c r="AJ27" s="503"/>
      <c r="AK27" s="1"/>
      <c r="AL27" s="2"/>
      <c r="AM27" s="48"/>
      <c r="AN27" s="17"/>
      <c r="AP27" s="13"/>
      <c r="AW27" s="18"/>
      <c r="AX27" s="18"/>
      <c r="AY27" s="18"/>
      <c r="AZ27" s="18"/>
      <c r="BA27" s="18"/>
      <c r="BB27" s="18"/>
      <c r="BC27" s="18"/>
      <c r="BD27" s="3"/>
      <c r="BE27" s="5"/>
      <c r="BF27" s="5"/>
    </row>
    <row r="28" spans="2:58" ht="15" customHeight="1">
      <c r="B28" s="337">
        <v>59.9</v>
      </c>
      <c r="C28" s="191">
        <v>46318</v>
      </c>
      <c r="D28" s="79" t="s">
        <v>17</v>
      </c>
      <c r="E28" s="58">
        <f t="shared" ref="E28:E37" si="19">IF(OR(B28="",F28="Pago"),"",B28)</f>
        <v>59.9</v>
      </c>
      <c r="F28" s="351" t="s">
        <v>135</v>
      </c>
      <c r="G28" s="343">
        <f t="shared" ref="G28:G34" si="20">IF(B28="","",B28+C28)</f>
        <v>46377.9</v>
      </c>
      <c r="H28" s="344">
        <f t="shared" ref="H28:H34" si="21">IFERROR(VLOOKUP(G28,$AG$5:$AG$174,1,0),"")</f>
        <v>46377.9</v>
      </c>
      <c r="I28" s="343" t="str">
        <f>IF(H28="","","TV")</f>
        <v>TV</v>
      </c>
      <c r="J28" s="383" t="s">
        <v>94</v>
      </c>
      <c r="K28" s="385" t="s">
        <v>90</v>
      </c>
      <c r="L28" s="384" t="str">
        <f t="shared" ref="L28:L37" si="22">IF(K28="AV","8",IF(AND(G28="",H28=""),"",IF(G28=H28,"P",IF(G28&lt;&gt;H28,"O"))))</f>
        <v>P</v>
      </c>
      <c r="M28" s="465">
        <f>IF(K28="AV",MAX($M$12:M27)+1,0)</f>
        <v>0</v>
      </c>
      <c r="N28" s="458">
        <f>IF(K28="IT",MAX($N$12:N27)+1,0)</f>
        <v>1</v>
      </c>
      <c r="O28" s="458">
        <f>IF(K28="IT2",MAX($O$12:O27)+1,0)</f>
        <v>0</v>
      </c>
      <c r="P28" s="458">
        <f>IF(K28="ITP",MAX($P$12:P27)+1,0)</f>
        <v>0</v>
      </c>
      <c r="Q28" s="458">
        <f>IF(K28="C6",MAX($Q$12:Q27)+1,0)</f>
        <v>0</v>
      </c>
      <c r="R28" s="354"/>
      <c r="S28" s="347" t="str">
        <f t="shared" ref="S28:S37" si="23">IF(F28="Pago",B28,"")</f>
        <v/>
      </c>
      <c r="T28" s="308"/>
      <c r="U28" s="308"/>
      <c r="V28" s="437" t="s">
        <v>29</v>
      </c>
      <c r="W28" s="442">
        <f t="shared" si="18"/>
        <v>1077.5800000000002</v>
      </c>
      <c r="X28" s="335"/>
      <c r="Y28" s="446">
        <f>SUMIFS($B$41:$B$46,$K$41:$K$46,"AV")</f>
        <v>0</v>
      </c>
      <c r="Z28" s="335">
        <f>SUMIFS($B$41:$B$46,$K$41:$K$46,"IT")</f>
        <v>0</v>
      </c>
      <c r="AA28" s="335">
        <f>SUMIFS($B$41:$B$46,$K$41:$K$46,"IT2")</f>
        <v>0</v>
      </c>
      <c r="AB28" s="335">
        <f>SUMIFS($B$41:$B$46,$K$41:$K$46,"ITP")</f>
        <v>582.16000000000008</v>
      </c>
      <c r="AC28" s="335">
        <f>SUMIFS($B$41:$B$46,$K$41:$K$46,"C6")</f>
        <v>495.42</v>
      </c>
      <c r="AD28" s="497"/>
      <c r="AE28" s="308"/>
      <c r="AF28" s="200" t="str">
        <f t="shared" si="0"/>
        <v/>
      </c>
      <c r="AG28" s="320" t="str">
        <f t="shared" si="2"/>
        <v/>
      </c>
      <c r="AH28" s="33" t="str">
        <f t="shared" si="3"/>
        <v/>
      </c>
      <c r="AI28" s="99" t="str">
        <f t="shared" si="1"/>
        <v/>
      </c>
      <c r="AJ28" s="503"/>
      <c r="AK28" s="1"/>
      <c r="AL28" s="2"/>
      <c r="AM28" s="48"/>
      <c r="AN28" s="17"/>
      <c r="AP28" s="13"/>
      <c r="AW28" s="18"/>
      <c r="AX28" s="18"/>
      <c r="AY28" s="18"/>
      <c r="AZ28" s="18"/>
      <c r="BA28" s="18"/>
      <c r="BB28" s="18"/>
      <c r="BC28" s="18"/>
      <c r="BD28" s="3"/>
      <c r="BE28" s="5"/>
      <c r="BF28" s="5"/>
    </row>
    <row r="29" spans="2:58" ht="15" customHeight="1">
      <c r="B29" s="337">
        <v>11.9</v>
      </c>
      <c r="C29" s="389"/>
      <c r="D29" s="177" t="s">
        <v>174</v>
      </c>
      <c r="E29" s="58">
        <f t="shared" si="19"/>
        <v>11.9</v>
      </c>
      <c r="F29" s="351" t="s">
        <v>135</v>
      </c>
      <c r="G29" s="343">
        <f t="shared" si="20"/>
        <v>11.9</v>
      </c>
      <c r="H29" s="344" t="str">
        <f t="shared" si="21"/>
        <v/>
      </c>
      <c r="I29" s="343" t="str">
        <f t="shared" ref="I29:I37" si="24">IF(H29="","","TV")</f>
        <v/>
      </c>
      <c r="J29" s="383" t="s">
        <v>94</v>
      </c>
      <c r="K29" s="351" t="s">
        <v>118</v>
      </c>
      <c r="L29" s="384" t="str">
        <f t="shared" si="22"/>
        <v>8</v>
      </c>
      <c r="M29" s="465">
        <f>IF(K29="AV",MAX($M$12:M28)+1,0)</f>
        <v>11</v>
      </c>
      <c r="N29" s="458">
        <f>IF(K29="IT",MAX($N$12:N28)+1,0)</f>
        <v>0</v>
      </c>
      <c r="O29" s="458">
        <f>IF(K29="IT2",MAX($O$12:O28)+1,0)</f>
        <v>0</v>
      </c>
      <c r="P29" s="458">
        <f>IF(K29="ITP",MAX($P$12:P28)+1,0)</f>
        <v>0</v>
      </c>
      <c r="Q29" s="458">
        <f>IF(K29="C6",MAX($Q$12:Q28)+1,0)</f>
        <v>0</v>
      </c>
      <c r="R29" s="354"/>
      <c r="S29" s="348" t="str">
        <f t="shared" si="23"/>
        <v/>
      </c>
      <c r="T29" s="308"/>
      <c r="U29" s="308"/>
      <c r="V29" s="437" t="s">
        <v>16</v>
      </c>
      <c r="W29" s="442">
        <f>SUM(X29:AC29)</f>
        <v>223.98</v>
      </c>
      <c r="X29" s="335"/>
      <c r="Y29" s="446">
        <f>SUMIFS($B$28:$B$37,$K$28:$K$37,"AV")</f>
        <v>76.699999999999989</v>
      </c>
      <c r="Z29" s="335">
        <f>SUMIFS($B$28:$B$37,$K$28:$K$37,"IT")</f>
        <v>143.13</v>
      </c>
      <c r="AA29" s="335">
        <f>SUMIFS($B$28:$B$37,$K$28:$K$37,"IT2")</f>
        <v>0</v>
      </c>
      <c r="AB29" s="335">
        <f>SUMIFS($B$28:$B$37,$K$28:$K$37,"ITP")</f>
        <v>0</v>
      </c>
      <c r="AC29" s="335">
        <f>SUMIFS($B$28:$B$37,$K$28:$K$37,"C6")</f>
        <v>4.1500000000000004</v>
      </c>
      <c r="AD29" s="497"/>
      <c r="AE29" s="308"/>
      <c r="AF29" s="200" t="str">
        <f t="shared" si="0"/>
        <v/>
      </c>
      <c r="AG29" s="320" t="str">
        <f t="shared" si="2"/>
        <v/>
      </c>
      <c r="AH29" s="33" t="str">
        <f t="shared" si="3"/>
        <v/>
      </c>
      <c r="AI29" s="99" t="str">
        <f t="shared" si="1"/>
        <v/>
      </c>
      <c r="AJ29" s="503"/>
      <c r="AK29" s="1"/>
      <c r="AL29" s="2"/>
      <c r="AM29" s="48"/>
      <c r="AN29" s="17"/>
      <c r="AP29" s="13"/>
      <c r="AW29" s="18"/>
      <c r="AX29" s="18"/>
      <c r="AY29" s="18"/>
      <c r="AZ29" s="18"/>
      <c r="BA29" s="18"/>
      <c r="BB29" s="18"/>
      <c r="BC29" s="18"/>
      <c r="BD29" s="3"/>
      <c r="BE29" s="5"/>
      <c r="BF29" s="5"/>
    </row>
    <row r="30" spans="2:58" ht="15" customHeight="1">
      <c r="B30" s="337">
        <v>26.9</v>
      </c>
      <c r="C30" s="191">
        <v>46235</v>
      </c>
      <c r="D30" s="79" t="s">
        <v>180</v>
      </c>
      <c r="E30" s="58">
        <f t="shared" si="19"/>
        <v>26.9</v>
      </c>
      <c r="F30" s="351" t="s">
        <v>135</v>
      </c>
      <c r="G30" s="343">
        <f t="shared" si="20"/>
        <v>46261.9</v>
      </c>
      <c r="H30" s="344" t="str">
        <f t="shared" si="21"/>
        <v/>
      </c>
      <c r="I30" s="343" t="str">
        <f t="shared" si="24"/>
        <v/>
      </c>
      <c r="J30" s="383" t="s">
        <v>94</v>
      </c>
      <c r="K30" s="351" t="s">
        <v>90</v>
      </c>
      <c r="L30" s="384" t="str">
        <f t="shared" si="22"/>
        <v>O</v>
      </c>
      <c r="M30" s="465">
        <f>IF(K30="AV",MAX($M$12:M29)+1,0)</f>
        <v>0</v>
      </c>
      <c r="N30" s="458">
        <f>IF(K30="IT",MAX($N$12:N29)+1,0)</f>
        <v>2</v>
      </c>
      <c r="O30" s="458">
        <f>IF(K30="IT2",MAX($O$12:O29)+1,0)</f>
        <v>0</v>
      </c>
      <c r="P30" s="458">
        <f>IF(K30="ITP",MAX($P$12:P29)+1,0)</f>
        <v>0</v>
      </c>
      <c r="Q30" s="458">
        <f>IF(K30="C6",MAX($Q$12:Q29)+1,0)</f>
        <v>0</v>
      </c>
      <c r="R30" s="354"/>
      <c r="S30" s="348" t="str">
        <f t="shared" si="23"/>
        <v/>
      </c>
      <c r="T30" s="308"/>
      <c r="U30" s="308"/>
      <c r="V30" s="437" t="s">
        <v>20</v>
      </c>
      <c r="W30" s="442">
        <f t="shared" si="18"/>
        <v>1500</v>
      </c>
      <c r="X30" s="335">
        <f>IF(1500-Y30-Z30-AA30-AB30-AC30&lt;0,"R$ 0,00",1500-Y30-Z30-AA30-AB30-AC30)</f>
        <v>680.91</v>
      </c>
      <c r="Y30" s="446">
        <f>SUMIFS($B$58:$B$77,$K$58:$K$77,"AV")</f>
        <v>0</v>
      </c>
      <c r="Z30" s="335">
        <f>SUMIFS($B$58:$B$77,$K$58:$K$77,"IT")</f>
        <v>819.09</v>
      </c>
      <c r="AA30" s="335">
        <f>SUMIFS($B$58:$B$77,$K$58:$K$77,"IT2")</f>
        <v>0</v>
      </c>
      <c r="AB30" s="335">
        <f>SUMIFS($B$58:$B$77,$K$58:$K$77,"ITP")</f>
        <v>0</v>
      </c>
      <c r="AC30" s="335">
        <f>SUMIFS($B$58:$B$77,$K$58:$K$77,"C6")</f>
        <v>0</v>
      </c>
      <c r="AD30" s="497"/>
      <c r="AE30" s="308"/>
      <c r="AF30" s="200" t="str">
        <f t="shared" si="0"/>
        <v/>
      </c>
      <c r="AG30" s="320" t="str">
        <f t="shared" si="2"/>
        <v/>
      </c>
      <c r="AH30" s="33" t="str">
        <f t="shared" si="3"/>
        <v/>
      </c>
      <c r="AI30" s="99" t="str">
        <f t="shared" si="1"/>
        <v/>
      </c>
      <c r="AJ30" s="218"/>
      <c r="AK30" s="217"/>
      <c r="AL30" s="219"/>
      <c r="AM30" s="48"/>
      <c r="AN30" s="17"/>
      <c r="AP30" s="13"/>
    </row>
    <row r="31" spans="2:58" ht="15" customHeight="1">
      <c r="B31" s="337">
        <v>10</v>
      </c>
      <c r="C31" s="389"/>
      <c r="D31" s="177" t="s">
        <v>173</v>
      </c>
      <c r="E31" s="58">
        <f t="shared" si="19"/>
        <v>10</v>
      </c>
      <c r="F31" s="351" t="s">
        <v>135</v>
      </c>
      <c r="G31" s="343">
        <f t="shared" si="20"/>
        <v>10</v>
      </c>
      <c r="H31" s="344" t="str">
        <f t="shared" si="21"/>
        <v/>
      </c>
      <c r="I31" s="343" t="str">
        <f t="shared" si="24"/>
        <v/>
      </c>
      <c r="J31" s="383" t="s">
        <v>94</v>
      </c>
      <c r="K31" s="351" t="s">
        <v>118</v>
      </c>
      <c r="L31" s="384" t="str">
        <f t="shared" si="22"/>
        <v>8</v>
      </c>
      <c r="M31" s="465">
        <f>IF(K31="AV",MAX($M$12:M30)+1,0)</f>
        <v>12</v>
      </c>
      <c r="N31" s="458">
        <f>IF(K31="IT",MAX($N$12:N30)+1,0)</f>
        <v>0</v>
      </c>
      <c r="O31" s="458">
        <f>IF(K31="IT2",MAX($O$12:O30)+1,0)</f>
        <v>0</v>
      </c>
      <c r="P31" s="458">
        <f>IF(K31="ITP",MAX($P$12:P30)+1,0)</f>
        <v>0</v>
      </c>
      <c r="Q31" s="458">
        <f>IF(K31="C6",MAX($Q$12:Q30)+1,0)</f>
        <v>0</v>
      </c>
      <c r="R31" s="354"/>
      <c r="S31" s="348" t="str">
        <f t="shared" si="23"/>
        <v/>
      </c>
      <c r="T31" s="308"/>
      <c r="U31" s="308"/>
      <c r="V31" s="437" t="s">
        <v>44</v>
      </c>
      <c r="W31" s="442">
        <f t="shared" si="18"/>
        <v>200</v>
      </c>
      <c r="X31" s="335">
        <f>IF(200-Y31-Z31-AA31-AB31-AC31&lt;0,"R$ 0,00",200-Y31-Z31-AA31-AB31-AC31)</f>
        <v>200</v>
      </c>
      <c r="Y31" s="446">
        <f>SUMIFS($B$50:$B$54,$K$50:$K$54,"AV")</f>
        <v>0</v>
      </c>
      <c r="Z31" s="335">
        <f>SUMIFS($B$50:$B$54,$K$50:$K$54,"IT")</f>
        <v>0</v>
      </c>
      <c r="AA31" s="335">
        <f>SUMIFS($B$50:$B$54,$K$50:$K$54,"IT2")</f>
        <v>0</v>
      </c>
      <c r="AB31" s="335">
        <f>SUMIFS($B$50:$B$54,$K$50:$K$54,"ITP")</f>
        <v>0</v>
      </c>
      <c r="AC31" s="335">
        <f>SUMIFS($B$50:$B$54,$K$50:$K$54,"C6")</f>
        <v>0</v>
      </c>
      <c r="AD31" s="497"/>
      <c r="AE31" s="308"/>
      <c r="AF31" s="200" t="str">
        <f t="shared" si="0"/>
        <v/>
      </c>
      <c r="AG31" s="320" t="str">
        <f t="shared" si="2"/>
        <v/>
      </c>
      <c r="AH31" s="33" t="str">
        <f t="shared" si="3"/>
        <v/>
      </c>
      <c r="AI31" s="99" t="str">
        <f t="shared" si="1"/>
        <v/>
      </c>
      <c r="AJ31" s="218"/>
      <c r="AK31" s="217"/>
      <c r="AL31" s="219"/>
      <c r="AM31" s="48"/>
      <c r="AN31" s="17"/>
      <c r="AP31" s="13"/>
      <c r="AW31" s="3"/>
      <c r="AX31" s="3"/>
      <c r="AY31" s="3"/>
      <c r="AZ31" s="3"/>
      <c r="BA31" s="3"/>
      <c r="BB31" s="3"/>
      <c r="BC31" s="3"/>
      <c r="BE31" s="5"/>
      <c r="BF31" s="5"/>
    </row>
    <row r="32" spans="2:58" ht="15" customHeight="1">
      <c r="B32" s="337">
        <v>19.899999999999999</v>
      </c>
      <c r="C32" s="389"/>
      <c r="D32" s="177" t="s">
        <v>172</v>
      </c>
      <c r="E32" s="58">
        <f t="shared" si="19"/>
        <v>19.899999999999999</v>
      </c>
      <c r="F32" s="351" t="s">
        <v>135</v>
      </c>
      <c r="G32" s="343">
        <f t="shared" si="20"/>
        <v>19.899999999999999</v>
      </c>
      <c r="H32" s="344" t="str">
        <f t="shared" si="21"/>
        <v/>
      </c>
      <c r="I32" s="343" t="str">
        <f t="shared" si="24"/>
        <v/>
      </c>
      <c r="J32" s="383" t="s">
        <v>94</v>
      </c>
      <c r="K32" s="351" t="s">
        <v>118</v>
      </c>
      <c r="L32" s="384" t="str">
        <f t="shared" si="22"/>
        <v>8</v>
      </c>
      <c r="M32" s="465">
        <f>IF(K32="AV",MAX($M$12:M31)+1,0)</f>
        <v>13</v>
      </c>
      <c r="N32" s="458">
        <f>IF(K32="IT",MAX($N$12:N31)+1,0)</f>
        <v>0</v>
      </c>
      <c r="O32" s="458">
        <f>IF(K32="IT2",MAX($O$12:O31)+1,0)</f>
        <v>0</v>
      </c>
      <c r="P32" s="458">
        <f>IF(K32="ITP",MAX($P$12:P31)+1,0)</f>
        <v>0</v>
      </c>
      <c r="Q32" s="458">
        <f>IF(K32="C6",MAX($Q$12:Q31)+1,0)</f>
        <v>0</v>
      </c>
      <c r="R32" s="354"/>
      <c r="S32" s="348" t="str">
        <f t="shared" si="23"/>
        <v/>
      </c>
      <c r="T32" s="308"/>
      <c r="U32" s="308"/>
      <c r="V32" s="438" t="s">
        <v>9</v>
      </c>
      <c r="W32" s="442">
        <f t="shared" si="18"/>
        <v>500</v>
      </c>
      <c r="X32" s="335">
        <f>IF(500-Y32-Z32-AA32-AB32-AC32&lt;0,"R$ 0,00",500-Y32-Z32-AA32-AB32-AC32)</f>
        <v>500</v>
      </c>
      <c r="Y32" s="446">
        <f>SUMIFS($B$142:$B$173,$K$142:$K$173,"AV")</f>
        <v>0</v>
      </c>
      <c r="Z32" s="335">
        <f>SUMIFS($B$142:$B$173,$K$142:$K$173,"IT")</f>
        <v>0</v>
      </c>
      <c r="AA32" s="335">
        <f>SUMIFS($B$142:$B$173,$K$142:$K$173,"IT2")</f>
        <v>0</v>
      </c>
      <c r="AB32" s="335">
        <f>SUMIFS($B$142:$B$173,$K$142:$K$173,"ITP")</f>
        <v>0</v>
      </c>
      <c r="AC32" s="335">
        <f>SUMIFS($B$142:$B$173,$K$142:$K$173,"C6")</f>
        <v>0</v>
      </c>
      <c r="AD32" s="497"/>
      <c r="AE32" s="308"/>
      <c r="AF32" s="200" t="str">
        <f t="shared" si="0"/>
        <v/>
      </c>
      <c r="AG32" s="320" t="str">
        <f t="shared" si="2"/>
        <v/>
      </c>
      <c r="AH32" s="33" t="str">
        <f t="shared" si="3"/>
        <v/>
      </c>
      <c r="AI32" s="99" t="str">
        <f t="shared" si="1"/>
        <v/>
      </c>
      <c r="AJ32" s="218"/>
      <c r="AK32" s="217"/>
      <c r="AL32" s="219"/>
      <c r="AM32" s="48"/>
      <c r="AN32" s="17"/>
      <c r="AP32" s="13"/>
      <c r="AW32" s="3"/>
      <c r="AX32" s="3"/>
      <c r="AY32" s="3"/>
      <c r="AZ32" s="3"/>
      <c r="BA32" s="3"/>
      <c r="BB32" s="3"/>
      <c r="BC32" s="3"/>
      <c r="BE32" s="5"/>
      <c r="BF32" s="5"/>
    </row>
    <row r="33" spans="2:58" ht="15" customHeight="1">
      <c r="B33" s="337">
        <v>34.9</v>
      </c>
      <c r="C33" s="389"/>
      <c r="D33" s="178" t="s">
        <v>175</v>
      </c>
      <c r="E33" s="58">
        <f t="shared" si="19"/>
        <v>34.9</v>
      </c>
      <c r="F33" s="351" t="s">
        <v>135</v>
      </c>
      <c r="G33" s="343">
        <f t="shared" si="20"/>
        <v>34.9</v>
      </c>
      <c r="H33" s="344" t="str">
        <f t="shared" si="21"/>
        <v/>
      </c>
      <c r="I33" s="343" t="str">
        <f t="shared" si="24"/>
        <v/>
      </c>
      <c r="J33" s="383" t="s">
        <v>94</v>
      </c>
      <c r="K33" s="351" t="s">
        <v>118</v>
      </c>
      <c r="L33" s="384" t="str">
        <f t="shared" si="22"/>
        <v>8</v>
      </c>
      <c r="M33" s="465">
        <f>IF(K33="AV",MAX($M$12:M32)+1,0)</f>
        <v>14</v>
      </c>
      <c r="N33" s="458">
        <f>IF(K33="IT",MAX($N$12:N32)+1,0)</f>
        <v>0</v>
      </c>
      <c r="O33" s="458">
        <f>IF(K33="IT2",MAX($O$12:O32)+1,0)</f>
        <v>0</v>
      </c>
      <c r="P33" s="458">
        <f>IF(K33="ITP",MAX($P$12:P32)+1,0)</f>
        <v>0</v>
      </c>
      <c r="Q33" s="458">
        <f>IF(K33="C6",MAX($Q$12:Q32)+1,0)</f>
        <v>0</v>
      </c>
      <c r="R33" s="354"/>
      <c r="S33" s="348" t="str">
        <f t="shared" si="23"/>
        <v/>
      </c>
      <c r="T33" s="308"/>
      <c r="U33" s="308"/>
      <c r="V33" s="437" t="s">
        <v>238</v>
      </c>
      <c r="W33" s="442">
        <f t="shared" si="18"/>
        <v>439.65999999999997</v>
      </c>
      <c r="X33" s="335"/>
      <c r="Y33" s="446">
        <f>SUMIFS($B$81:$B$95,$K$81:$K$95,"AV")</f>
        <v>0</v>
      </c>
      <c r="Z33" s="335">
        <f>SUMIFS($B$81:$B$95,$K$81:$K$95,"IT")</f>
        <v>439.65999999999997</v>
      </c>
      <c r="AA33" s="335">
        <f>SUMIFS($B$81:$B$95,$K$81:$K$95,"IT2")</f>
        <v>0</v>
      </c>
      <c r="AB33" s="335">
        <f>SUMIFS($B$81:$B$95,$K$81:$K$95,"ITP")</f>
        <v>0</v>
      </c>
      <c r="AC33" s="335">
        <f>SUMIFS($B$81:$B$95,$K$81:$K$95,"C6")</f>
        <v>0</v>
      </c>
      <c r="AD33" s="497"/>
      <c r="AE33" s="308"/>
      <c r="AF33" s="200" t="str">
        <f t="shared" si="0"/>
        <v/>
      </c>
      <c r="AG33" s="320" t="str">
        <f t="shared" si="2"/>
        <v/>
      </c>
      <c r="AH33" s="33" t="str">
        <f t="shared" si="3"/>
        <v/>
      </c>
      <c r="AI33" s="99" t="str">
        <f t="shared" si="1"/>
        <v/>
      </c>
      <c r="AJ33" s="218"/>
      <c r="AK33" s="217"/>
      <c r="AL33" s="219"/>
      <c r="AM33" s="48"/>
      <c r="AN33" s="5"/>
      <c r="AP33" s="5"/>
      <c r="BE33" s="5"/>
      <c r="BF33" s="5"/>
    </row>
    <row r="34" spans="2:58" ht="15" customHeight="1">
      <c r="B34" s="337">
        <v>31.43</v>
      </c>
      <c r="C34" s="191">
        <v>46241</v>
      </c>
      <c r="D34" s="85" t="s">
        <v>62</v>
      </c>
      <c r="E34" s="58">
        <f t="shared" si="19"/>
        <v>31.43</v>
      </c>
      <c r="F34" s="351" t="s">
        <v>135</v>
      </c>
      <c r="G34" s="343">
        <f t="shared" si="20"/>
        <v>46272.43</v>
      </c>
      <c r="H34" s="344" t="str">
        <f t="shared" si="21"/>
        <v/>
      </c>
      <c r="I34" s="343" t="str">
        <f t="shared" si="24"/>
        <v/>
      </c>
      <c r="J34" s="383" t="s">
        <v>94</v>
      </c>
      <c r="K34" s="351" t="s">
        <v>90</v>
      </c>
      <c r="L34" s="384" t="str">
        <f t="shared" si="22"/>
        <v>O</v>
      </c>
      <c r="M34" s="465">
        <f>IF(K34="AV",MAX($M$12:M33)+1,0)</f>
        <v>0</v>
      </c>
      <c r="N34" s="458">
        <f>IF(K34="IT",MAX($N$12:N33)+1,0)</f>
        <v>3</v>
      </c>
      <c r="O34" s="458">
        <f>IF(K34="IT2",MAX($O$12:O33)+1,0)</f>
        <v>0</v>
      </c>
      <c r="P34" s="458">
        <f>IF(K34="ITP",MAX($P$12:P33)+1,0)</f>
        <v>0</v>
      </c>
      <c r="Q34" s="458">
        <f>IF(K34="C6",MAX($Q$12:Q33)+1,0)</f>
        <v>0</v>
      </c>
      <c r="R34" s="354"/>
      <c r="S34" s="348" t="str">
        <f t="shared" si="23"/>
        <v/>
      </c>
      <c r="T34" s="308"/>
      <c r="U34" s="308"/>
      <c r="V34" s="437" t="s">
        <v>28</v>
      </c>
      <c r="W34" s="442">
        <f t="shared" si="18"/>
        <v>226.2</v>
      </c>
      <c r="X34" s="335"/>
      <c r="Y34" s="446">
        <f>SUMIFS($B$107:$B$114,$K$107:$K$114,"AV")</f>
        <v>0</v>
      </c>
      <c r="Z34" s="335">
        <f>SUMIFS($B$107:$B$114,$K$107:$K$114,"IT")</f>
        <v>226.2</v>
      </c>
      <c r="AA34" s="335">
        <f>SUMIFS($B$107:$B$114,$K$107:$K$114,"IT2")</f>
        <v>0</v>
      </c>
      <c r="AB34" s="335">
        <f>SUMIFS($B$107:$B$114,$K$107:$K$114,"ITP")</f>
        <v>0</v>
      </c>
      <c r="AC34" s="335">
        <f>SUMIFS($B$107:$B$114,$K$107:$K$114,"C6")</f>
        <v>0</v>
      </c>
      <c r="AD34" s="497"/>
      <c r="AE34" s="308"/>
      <c r="AF34" s="200" t="str">
        <f t="shared" si="0"/>
        <v/>
      </c>
      <c r="AG34" s="320" t="str">
        <f t="shared" si="2"/>
        <v/>
      </c>
      <c r="AH34" s="33" t="str">
        <f t="shared" si="3"/>
        <v/>
      </c>
      <c r="AI34" s="99" t="str">
        <f t="shared" si="1"/>
        <v/>
      </c>
      <c r="AJ34" s="218"/>
      <c r="AK34" s="217"/>
      <c r="AL34" s="219"/>
      <c r="AM34" s="48"/>
      <c r="AN34" s="5"/>
      <c r="AP34" s="5"/>
      <c r="BE34" s="5"/>
      <c r="BF34" s="5"/>
    </row>
    <row r="35" spans="2:58" ht="15" customHeight="1">
      <c r="B35" s="337">
        <v>24.9</v>
      </c>
      <c r="C35" s="191">
        <v>46288</v>
      </c>
      <c r="D35" s="185" t="s">
        <v>167</v>
      </c>
      <c r="E35" s="58">
        <f t="shared" si="19"/>
        <v>24.9</v>
      </c>
      <c r="F35" s="351" t="s">
        <v>135</v>
      </c>
      <c r="G35" s="351" t="s">
        <v>135</v>
      </c>
      <c r="H35" s="351" t="s">
        <v>135</v>
      </c>
      <c r="I35" s="351" t="s">
        <v>135</v>
      </c>
      <c r="J35" s="383" t="s">
        <v>98</v>
      </c>
      <c r="K35" s="351" t="s">
        <v>90</v>
      </c>
      <c r="L35" s="384" t="str">
        <f t="shared" si="22"/>
        <v>P</v>
      </c>
      <c r="M35" s="465">
        <f>IF(K35="AV",MAX($M$12:M34)+1,0)</f>
        <v>0</v>
      </c>
      <c r="N35" s="458">
        <f>IF(K35="IT",MAX($N$12:N34)+1,0)</f>
        <v>4</v>
      </c>
      <c r="O35" s="458">
        <f>IF(K35="IT2",MAX($O$12:O34)+1,0)</f>
        <v>0</v>
      </c>
      <c r="P35" s="458">
        <f>IF(K35="ITP",MAX($P$12:P34)+1,0)</f>
        <v>0</v>
      </c>
      <c r="Q35" s="458">
        <f>IF(K35="C6",MAX($Q$12:Q34)+1,0)</f>
        <v>0</v>
      </c>
      <c r="R35" s="354"/>
      <c r="S35" s="348" t="str">
        <f t="shared" si="23"/>
        <v/>
      </c>
      <c r="T35" s="308"/>
      <c r="U35" s="308"/>
      <c r="V35" s="437" t="s">
        <v>37</v>
      </c>
      <c r="W35" s="442">
        <f t="shared" si="18"/>
        <v>0</v>
      </c>
      <c r="X35" s="335"/>
      <c r="Y35" s="446">
        <f>SUMIFS($B$99:$B$103,$K$99:$K$103,"AV")</f>
        <v>0</v>
      </c>
      <c r="Z35" s="335">
        <f>SUMIFS($B$99:$B$103,$K$99:$K$103,"IT")</f>
        <v>0</v>
      </c>
      <c r="AA35" s="335">
        <f>SUMIFS($B$99:$B$103,$K$99:$K$103,"IT2")</f>
        <v>0</v>
      </c>
      <c r="AB35" s="335">
        <f>SUMIFS($B$99:$B$103,$K$99:$K$103,"ITP")</f>
        <v>0</v>
      </c>
      <c r="AC35" s="335">
        <f>SUMIFS($B$99:$B$103,$K$99:$K$103,"C6")</f>
        <v>0</v>
      </c>
      <c r="AD35" s="497"/>
      <c r="AE35" s="308"/>
      <c r="AF35" s="200" t="str">
        <f t="shared" si="0"/>
        <v/>
      </c>
      <c r="AG35" s="320" t="str">
        <f t="shared" si="2"/>
        <v/>
      </c>
      <c r="AH35" s="33" t="str">
        <f t="shared" si="3"/>
        <v/>
      </c>
      <c r="AI35" s="99" t="str">
        <f t="shared" si="1"/>
        <v/>
      </c>
      <c r="AJ35" s="218"/>
      <c r="AK35" s="217"/>
      <c r="AL35" s="219"/>
      <c r="AM35" s="48"/>
      <c r="AN35" s="5"/>
      <c r="AP35" s="5"/>
      <c r="BE35" s="5"/>
      <c r="BF35" s="5"/>
    </row>
    <row r="36" spans="2:58" ht="15" customHeight="1">
      <c r="B36" s="337">
        <v>4.1500000000000004</v>
      </c>
      <c r="C36" s="191">
        <v>46303</v>
      </c>
      <c r="D36" s="185" t="s">
        <v>376</v>
      </c>
      <c r="E36" s="58">
        <f t="shared" si="19"/>
        <v>4.1500000000000004</v>
      </c>
      <c r="F36" s="351" t="s">
        <v>135</v>
      </c>
      <c r="G36" s="343">
        <f t="shared" ref="G36:G37" si="25">IF(B36="","",B36+C36)</f>
        <v>46307.15</v>
      </c>
      <c r="H36" s="344">
        <f>IFERROR(VLOOKUP(G36,$AG$5:$AG$174,1,0),"")</f>
        <v>46307.15</v>
      </c>
      <c r="I36" s="343" t="str">
        <f t="shared" si="24"/>
        <v>TV</v>
      </c>
      <c r="J36" s="383" t="s">
        <v>98</v>
      </c>
      <c r="K36" s="351" t="s">
        <v>8</v>
      </c>
      <c r="L36" s="384" t="str">
        <f t="shared" si="22"/>
        <v>P</v>
      </c>
      <c r="M36" s="465">
        <f>IF(K36="AV",MAX($M$12:M35)+1,0)</f>
        <v>0</v>
      </c>
      <c r="N36" s="458">
        <f>IF(K36="IT",MAX($N$12:N35)+1,0)</f>
        <v>0</v>
      </c>
      <c r="O36" s="458">
        <f>IF(K36="IT2",MAX($O$12:O35)+1,0)</f>
        <v>0</v>
      </c>
      <c r="P36" s="458">
        <f>IF(K36="ITP",MAX($P$12:P35)+1,0)</f>
        <v>0</v>
      </c>
      <c r="Q36" s="458">
        <f>IF(K36="C6",MAX($Q$12:Q35)+1,0)</f>
        <v>1</v>
      </c>
      <c r="R36" s="365"/>
      <c r="S36" s="348" t="str">
        <f t="shared" si="23"/>
        <v/>
      </c>
      <c r="T36" s="308"/>
      <c r="U36" s="308"/>
      <c r="V36" s="437" t="s">
        <v>21</v>
      </c>
      <c r="W36" s="442">
        <f t="shared" si="18"/>
        <v>724.83</v>
      </c>
      <c r="X36" s="335"/>
      <c r="Y36" s="446">
        <f>SUMIFS($B$130:$B$138,$K$130:$K$138,"AV")</f>
        <v>0</v>
      </c>
      <c r="Z36" s="335">
        <f>SUMIFS($B$130:$B$138,$K$130:$K$138,"IT")</f>
        <v>691.5</v>
      </c>
      <c r="AA36" s="335">
        <f>SUMIFS($B$130:$B$138,$K$130:$K$138,"IT2")</f>
        <v>0</v>
      </c>
      <c r="AB36" s="335">
        <f>SUMIFS($B$130:$B$138,$K$130:$K$138,"ITP")</f>
        <v>0</v>
      </c>
      <c r="AC36" s="335">
        <f>SUMIFS($B$130:$B$138,$K$130:$K$138,"C6")</f>
        <v>33.33</v>
      </c>
      <c r="AD36" s="497"/>
      <c r="AE36" s="308"/>
      <c r="AF36" s="200" t="str">
        <f t="shared" si="0"/>
        <v/>
      </c>
      <c r="AG36" s="320" t="str">
        <f t="shared" si="2"/>
        <v/>
      </c>
      <c r="AH36" s="33" t="str">
        <f t="shared" si="3"/>
        <v/>
      </c>
      <c r="AI36" s="99" t="str">
        <f t="shared" si="1"/>
        <v/>
      </c>
      <c r="AJ36" s="218"/>
      <c r="AK36" s="217"/>
      <c r="AL36" s="219"/>
      <c r="AM36" s="48"/>
      <c r="AN36" s="5"/>
      <c r="AP36" s="5"/>
      <c r="BE36" s="5"/>
      <c r="BF36" s="5"/>
    </row>
    <row r="37" spans="2:58" ht="15" customHeight="1">
      <c r="B37" s="338"/>
      <c r="C37" s="215"/>
      <c r="D37" s="216"/>
      <c r="E37" s="67" t="str">
        <f t="shared" si="19"/>
        <v/>
      </c>
      <c r="F37" s="356"/>
      <c r="G37" s="452" t="str">
        <f t="shared" si="25"/>
        <v/>
      </c>
      <c r="H37" s="345" t="str">
        <f>IFERROR(VLOOKUP(G37,$AG$5:$AG$174,1,0),"")</f>
        <v/>
      </c>
      <c r="I37" s="346" t="str">
        <f t="shared" si="24"/>
        <v/>
      </c>
      <c r="J37" s="358"/>
      <c r="K37" s="356"/>
      <c r="L37" s="359" t="str">
        <f t="shared" si="22"/>
        <v/>
      </c>
      <c r="M37" s="466">
        <f>IF(K37="AV",MAX($M$12:M36)+1,0)</f>
        <v>0</v>
      </c>
      <c r="N37" s="459">
        <f>IF(K37="IT",MAX($N$12:N36)+1,0)</f>
        <v>0</v>
      </c>
      <c r="O37" s="459">
        <f>IF(K37="IT2",MAX($O$12:O36)+1,0)</f>
        <v>0</v>
      </c>
      <c r="P37" s="459">
        <f>IF(K37="ITP",MAX($P$12:P36)+1,0)</f>
        <v>0</v>
      </c>
      <c r="Q37" s="459">
        <f>IF(K37="C6",MAX($Q$12:Q36)+1,0)</f>
        <v>0</v>
      </c>
      <c r="R37" s="368"/>
      <c r="S37" s="349" t="str">
        <f t="shared" si="23"/>
        <v/>
      </c>
      <c r="T37" s="308"/>
      <c r="U37" s="308"/>
      <c r="V37" s="437" t="s">
        <v>13</v>
      </c>
      <c r="W37" s="442">
        <f t="shared" si="18"/>
        <v>50</v>
      </c>
      <c r="X37" s="335"/>
      <c r="Y37" s="446">
        <f>SUMIFS($B$118:$B$126,$K$118:$K$126,"AV")</f>
        <v>0</v>
      </c>
      <c r="Z37" s="335">
        <f>SUMIFS($B$118:$B$126,$K$118:$K$126,"IT")</f>
        <v>50</v>
      </c>
      <c r="AA37" s="335">
        <f>SUMIFS($B$118:$B$126,$K$118:$K$126,"IT2")</f>
        <v>0</v>
      </c>
      <c r="AB37" s="335">
        <f>SUMIFS($B$118:$B$126,$K$118:$K$126,"ITP")</f>
        <v>0</v>
      </c>
      <c r="AC37" s="335">
        <f>SUMIFS($B$118:$B$126,$K$118:$K$126,"C6")</f>
        <v>0</v>
      </c>
      <c r="AD37" s="497"/>
      <c r="AE37" s="308"/>
      <c r="AF37" s="200" t="str">
        <f t="shared" ref="AF37:AF68" si="26">IFERROR(VLOOKUP(AG37,$G$12:$G$239,1,0),"")</f>
        <v/>
      </c>
      <c r="AG37" s="320" t="str">
        <f t="shared" si="2"/>
        <v/>
      </c>
      <c r="AH37" s="33" t="str">
        <f t="shared" si="3"/>
        <v/>
      </c>
      <c r="AI37" s="99" t="str">
        <f t="shared" ref="AI37:AI68" si="27">IF(AG37="","",IFERROR(VLOOKUP(AG37,$H$12:$I$239,2,0),""))</f>
        <v/>
      </c>
      <c r="AJ37" s="218"/>
      <c r="AK37" s="217"/>
      <c r="AL37" s="219"/>
      <c r="AM37" s="48"/>
      <c r="AN37" s="5"/>
      <c r="AP37" s="5"/>
      <c r="BE37" s="5"/>
      <c r="BF37" s="5"/>
    </row>
    <row r="38" spans="2:58" ht="15" customHeight="1">
      <c r="B38" s="308"/>
      <c r="C38" s="308"/>
      <c r="D38" s="308"/>
      <c r="E38" s="308"/>
      <c r="F38" s="308"/>
      <c r="G38" s="308"/>
      <c r="H38" s="308"/>
      <c r="I38" s="308"/>
      <c r="J38" s="308"/>
      <c r="K38" s="308"/>
      <c r="L38" s="308"/>
      <c r="M38" s="308"/>
      <c r="N38" s="308"/>
      <c r="O38" s="308"/>
      <c r="P38" s="308"/>
      <c r="Q38" s="308"/>
      <c r="R38" s="308"/>
      <c r="S38" s="308"/>
      <c r="T38" s="308"/>
      <c r="U38" s="308"/>
      <c r="V38" s="437" t="s">
        <v>111</v>
      </c>
      <c r="W38" s="442">
        <f t="shared" si="18"/>
        <v>0</v>
      </c>
      <c r="X38" s="335"/>
      <c r="Y38" s="446">
        <f>SUMIFS($B$177:$B$187,$K$177:$K$187,"AV")</f>
        <v>0</v>
      </c>
      <c r="Z38" s="335">
        <f>SUMIFS($B$177:$B$187,$K$177:$K$187,"IT")</f>
        <v>0</v>
      </c>
      <c r="AA38" s="335">
        <f>SUMIFS($B$177:$B$187,$K$177:$K$187,"IT2")</f>
        <v>0</v>
      </c>
      <c r="AB38" s="335">
        <f>SUMIFS($B$177:$B$187,$K$177:$K$187,"ITP")</f>
        <v>0</v>
      </c>
      <c r="AC38" s="335">
        <f>SUMIFS($B$177:$B$187,$K$177:$K$187,"C6")</f>
        <v>0</v>
      </c>
      <c r="AD38" s="497"/>
      <c r="AE38" s="308"/>
      <c r="AF38" s="200" t="str">
        <f t="shared" si="26"/>
        <v/>
      </c>
      <c r="AG38" s="320" t="str">
        <f t="shared" si="2"/>
        <v/>
      </c>
      <c r="AH38" s="33" t="str">
        <f t="shared" si="3"/>
        <v/>
      </c>
      <c r="AI38" s="99" t="str">
        <f t="shared" si="27"/>
        <v/>
      </c>
      <c r="AJ38" s="218"/>
      <c r="AK38" s="217"/>
      <c r="AL38" s="219"/>
      <c r="AM38" s="48"/>
      <c r="AN38" s="5"/>
      <c r="AP38" s="5"/>
      <c r="BE38" s="5"/>
      <c r="BF38" s="5"/>
    </row>
    <row r="39" spans="2:58" ht="15" customHeight="1">
      <c r="B39" s="545" t="s">
        <v>6</v>
      </c>
      <c r="C39" s="546"/>
      <c r="D39" s="547"/>
      <c r="E39" s="551">
        <f>SUM(E41:E46)</f>
        <v>1077.5800000000002</v>
      </c>
      <c r="F39" s="552"/>
      <c r="G39" s="322"/>
      <c r="H39" s="220"/>
      <c r="I39" s="342" t="str">
        <f t="shared" si="14"/>
        <v/>
      </c>
      <c r="J39" s="555">
        <f>SUM(S41:S46)</f>
        <v>0</v>
      </c>
      <c r="K39" s="555"/>
      <c r="L39" s="556"/>
      <c r="M39" s="460"/>
      <c r="N39" s="456"/>
      <c r="O39" s="456"/>
      <c r="P39" s="456"/>
      <c r="Q39" s="461"/>
      <c r="R39" s="559">
        <f>SUM(E39,J39)</f>
        <v>1077.5800000000002</v>
      </c>
      <c r="S39" s="560"/>
      <c r="T39" s="308"/>
      <c r="U39" s="308"/>
      <c r="V39" s="429" t="s">
        <v>10</v>
      </c>
      <c r="W39" s="442">
        <f t="shared" si="18"/>
        <v>1637.9599999999998</v>
      </c>
      <c r="X39" s="335"/>
      <c r="Y39" s="446">
        <f>SUMIFS($B$191:$B$203,$K$191:$K$203,"AV")</f>
        <v>0</v>
      </c>
      <c r="Z39" s="335">
        <f>SUMIFS($B$191:$B$203,$K$191:$K$203,"IT")</f>
        <v>548.01</v>
      </c>
      <c r="AA39" s="335">
        <f>SUMIFS($B$191:$B$203,$K$191:$K$203,"IT2")</f>
        <v>0</v>
      </c>
      <c r="AB39" s="335">
        <f>SUMIFS($B$191:$B$203,$K$191:$K$203,"ITP")</f>
        <v>0</v>
      </c>
      <c r="AC39" s="335">
        <f>SUMIFS($B$191:$B$203,$K$191:$K$203,"C6")</f>
        <v>1089.9499999999998</v>
      </c>
      <c r="AD39" s="497"/>
      <c r="AE39" s="308"/>
      <c r="AF39" s="200" t="str">
        <f t="shared" si="26"/>
        <v/>
      </c>
      <c r="AG39" s="320" t="str">
        <f t="shared" si="2"/>
        <v/>
      </c>
      <c r="AH39" s="33" t="str">
        <f t="shared" si="3"/>
        <v/>
      </c>
      <c r="AI39" s="99" t="str">
        <f t="shared" si="27"/>
        <v/>
      </c>
      <c r="AJ39" s="218"/>
      <c r="AK39" s="217"/>
      <c r="AL39" s="219"/>
      <c r="AM39" s="48"/>
      <c r="AN39" s="5"/>
      <c r="AP39" s="5"/>
      <c r="BE39" s="5"/>
      <c r="BF39" s="5"/>
    </row>
    <row r="40" spans="2:58" ht="15" customHeight="1">
      <c r="B40" s="548"/>
      <c r="C40" s="549"/>
      <c r="D40" s="550"/>
      <c r="E40" s="553"/>
      <c r="F40" s="554"/>
      <c r="G40" s="323"/>
      <c r="H40" s="222"/>
      <c r="I40" s="346" t="str">
        <f t="shared" si="14"/>
        <v/>
      </c>
      <c r="J40" s="557"/>
      <c r="K40" s="557"/>
      <c r="L40" s="558"/>
      <c r="M40" s="462"/>
      <c r="N40" s="457"/>
      <c r="O40" s="457"/>
      <c r="P40" s="457"/>
      <c r="Q40" s="463"/>
      <c r="R40" s="561"/>
      <c r="S40" s="562"/>
      <c r="T40" s="308"/>
      <c r="U40" s="308"/>
      <c r="V40" s="429" t="s">
        <v>5</v>
      </c>
      <c r="W40" s="442">
        <f t="shared" si="18"/>
        <v>682.79</v>
      </c>
      <c r="X40" s="335" t="str">
        <f>IF(550-Y40-Z40-AA40-AB40-AC40&lt;0,"R$ 0,00",550-Y40-Z40-AA40-AB40-AC40)</f>
        <v>R$ 0,00</v>
      </c>
      <c r="Y40" s="446">
        <f>SUMIFS($B$207:$B$215,$K$207:$K$215,"AV")</f>
        <v>0</v>
      </c>
      <c r="Z40" s="335">
        <f>SUMIFS($B$207:$B$215,$K$207:$K$215,"IT")</f>
        <v>682.79</v>
      </c>
      <c r="AA40" s="335">
        <f>SUMIFS($B$207:$B$215,$K$207:$K$215,"IT2")</f>
        <v>0</v>
      </c>
      <c r="AB40" s="335">
        <f>SUMIFS($B$207:$B$215,$K$207:$K$215,"ITP")</f>
        <v>0</v>
      </c>
      <c r="AC40" s="335">
        <f>SUMIFS($B$207:$B$215,$K$207:$K$215,"C6")</f>
        <v>0</v>
      </c>
      <c r="AD40" s="497"/>
      <c r="AE40" s="308"/>
      <c r="AF40" s="200" t="str">
        <f t="shared" si="26"/>
        <v/>
      </c>
      <c r="AG40" s="320" t="str">
        <f t="shared" si="2"/>
        <v/>
      </c>
      <c r="AH40" s="33" t="str">
        <f t="shared" si="3"/>
        <v/>
      </c>
      <c r="AI40" s="99" t="str">
        <f t="shared" si="27"/>
        <v/>
      </c>
      <c r="AJ40" s="218"/>
      <c r="AK40" s="217"/>
      <c r="AL40" s="219"/>
      <c r="AM40" s="48"/>
      <c r="AN40" s="5"/>
      <c r="AP40" s="5"/>
      <c r="BE40" s="5"/>
      <c r="BF40" s="5"/>
    </row>
    <row r="41" spans="2:58" ht="15" customHeight="1">
      <c r="B41" s="337">
        <v>248.91</v>
      </c>
      <c r="C41" s="191">
        <v>46315</v>
      </c>
      <c r="D41" s="90" t="s">
        <v>47</v>
      </c>
      <c r="E41" s="58">
        <f t="shared" ref="E41:E45" si="28">IF(OR(B41="",F41="Pago"),"",B41)</f>
        <v>248.91</v>
      </c>
      <c r="F41" s="351" t="s">
        <v>135</v>
      </c>
      <c r="G41" s="343">
        <f t="shared" ref="G41:G45" si="29">IF(B41="","",B41+C41)</f>
        <v>46563.91</v>
      </c>
      <c r="H41" s="344">
        <f t="shared" ref="H41:H46" si="30">IFERROR(VLOOKUP(G41,$AG$5:$AG$174,1,0),"")</f>
        <v>46563.91</v>
      </c>
      <c r="I41" s="343" t="str">
        <f>IF(H41="","","PRUDENTIAL")</f>
        <v>PRUDENTIAL</v>
      </c>
      <c r="J41" s="383" t="s">
        <v>94</v>
      </c>
      <c r="K41" s="385" t="s">
        <v>99</v>
      </c>
      <c r="L41" s="384" t="str">
        <f t="shared" ref="L41:L45" si="31">IF(K41="AV","8",IF(AND(G41="",H41=""),"",IF(G41=H41,"P",IF(G41&lt;&gt;H41,"O"))))</f>
        <v>P</v>
      </c>
      <c r="M41" s="465">
        <f>IF(K41="AV",MAX($M$12:M40)+1,0)</f>
        <v>0</v>
      </c>
      <c r="N41" s="458">
        <f>IF(K41="IT",MAX($N$12:N40)+1,0)</f>
        <v>0</v>
      </c>
      <c r="O41" s="458">
        <f>IF(K41="IT2",MAX($O$12:O40)+1,0)</f>
        <v>0</v>
      </c>
      <c r="P41" s="458">
        <f>IF(K41="ITP",MAX($P$12:P40)+1,0)</f>
        <v>1</v>
      </c>
      <c r="Q41" s="458">
        <f>IF(K41="C6",MAX($Q$12:Q40)+1,0)</f>
        <v>0</v>
      </c>
      <c r="R41" s="354"/>
      <c r="S41" s="347" t="str">
        <f t="shared" ref="S41:S46" si="32">IF(F41="Pago",B41,"")</f>
        <v/>
      </c>
      <c r="T41" s="308"/>
      <c r="U41" s="308"/>
      <c r="V41" s="439" t="s">
        <v>7</v>
      </c>
      <c r="W41" s="442">
        <f t="shared" si="18"/>
        <v>2035.3</v>
      </c>
      <c r="X41" s="398"/>
      <c r="Y41" s="446">
        <f>SUMIFS($B$219:$B$239,$K$219:$K$239,"AV")</f>
        <v>239.9</v>
      </c>
      <c r="Z41" s="335">
        <f>SUMIFS($B$219:$B$239,$K$219:$K$239,"IT")</f>
        <v>1357.4199999999998</v>
      </c>
      <c r="AA41" s="335">
        <f>SUMIFS($B$219:$B$239,$K$219:$K$239,"IT2")</f>
        <v>352</v>
      </c>
      <c r="AB41" s="335">
        <f>SUMIFS($B$219:$B$239,$K$219:$K$239,"ITP")</f>
        <v>0</v>
      </c>
      <c r="AC41" s="335">
        <f>SUMIFS($B$219:$B$239,$K$219:$K$239,"C6")</f>
        <v>85.98</v>
      </c>
      <c r="AD41" s="497"/>
      <c r="AE41" s="308"/>
      <c r="AF41" s="200" t="str">
        <f t="shared" si="26"/>
        <v/>
      </c>
      <c r="AG41" s="320" t="str">
        <f t="shared" si="2"/>
        <v/>
      </c>
      <c r="AH41" s="33" t="str">
        <f t="shared" si="3"/>
        <v/>
      </c>
      <c r="AI41" s="99" t="str">
        <f t="shared" si="27"/>
        <v/>
      </c>
      <c r="AJ41" s="218"/>
      <c r="AK41" s="217"/>
      <c r="AL41" s="219"/>
      <c r="AM41" s="48"/>
      <c r="AN41" s="5"/>
      <c r="AP41" s="5"/>
      <c r="BE41" s="5"/>
      <c r="BF41" s="5"/>
    </row>
    <row r="42" spans="2:58" ht="15" customHeight="1">
      <c r="B42" s="337">
        <v>12.15</v>
      </c>
      <c r="C42" s="191">
        <v>46315</v>
      </c>
      <c r="D42" s="90" t="s">
        <v>76</v>
      </c>
      <c r="E42" s="58">
        <f t="shared" si="28"/>
        <v>12.15</v>
      </c>
      <c r="F42" s="351" t="s">
        <v>135</v>
      </c>
      <c r="G42" s="343">
        <f t="shared" si="29"/>
        <v>46327.15</v>
      </c>
      <c r="H42" s="344">
        <f t="shared" si="30"/>
        <v>46327.15</v>
      </c>
      <c r="I42" s="343" t="str">
        <f t="shared" ref="I42:I46" si="33">IF(H42="","","PRUDENTIAL")</f>
        <v>PRUDENTIAL</v>
      </c>
      <c r="J42" s="383" t="s">
        <v>94</v>
      </c>
      <c r="K42" s="351" t="s">
        <v>99</v>
      </c>
      <c r="L42" s="384" t="str">
        <f t="shared" si="31"/>
        <v>P</v>
      </c>
      <c r="M42" s="465">
        <f>IF(K42="AV",MAX($M$12:M41)+1,0)</f>
        <v>0</v>
      </c>
      <c r="N42" s="458">
        <f>IF(K42="IT",MAX($N$12:N41)+1,0)</f>
        <v>0</v>
      </c>
      <c r="O42" s="458">
        <f>IF(K42="IT2",MAX($O$12:O41)+1,0)</f>
        <v>0</v>
      </c>
      <c r="P42" s="458">
        <f>IF(K42="ITP",MAX($P$12:P41)+1,0)</f>
        <v>2</v>
      </c>
      <c r="Q42" s="458">
        <f>IF(K42="C6",MAX($Q$12:Q41)+1,0)</f>
        <v>0</v>
      </c>
      <c r="R42" s="354"/>
      <c r="S42" s="348" t="str">
        <f t="shared" si="32"/>
        <v/>
      </c>
      <c r="T42" s="308"/>
      <c r="U42" s="308"/>
      <c r="V42" s="528">
        <f>SUM(W26:W41)</f>
        <v>15163.539999999997</v>
      </c>
      <c r="W42" s="529"/>
      <c r="X42" s="578">
        <f t="shared" ref="X42:AB42" si="34">SUM(X26:X41)</f>
        <v>1380.9099999999999</v>
      </c>
      <c r="Y42" s="577">
        <f t="shared" si="34"/>
        <v>6181.8399999999992</v>
      </c>
      <c r="Z42" s="578">
        <f>SUM(Z26:Z41)</f>
        <v>4957.8</v>
      </c>
      <c r="AA42" s="578">
        <f t="shared" si="34"/>
        <v>352</v>
      </c>
      <c r="AB42" s="578">
        <f t="shared" si="34"/>
        <v>582.16000000000008</v>
      </c>
      <c r="AC42" s="578">
        <f>SUM(AC26:AC41)</f>
        <v>1708.83</v>
      </c>
      <c r="AD42" s="497"/>
      <c r="AE42" s="308"/>
      <c r="AF42" s="200" t="str">
        <f t="shared" si="26"/>
        <v/>
      </c>
      <c r="AG42" s="320" t="str">
        <f t="shared" si="2"/>
        <v/>
      </c>
      <c r="AH42" s="33" t="str">
        <f t="shared" si="3"/>
        <v/>
      </c>
      <c r="AI42" s="99" t="str">
        <f t="shared" si="27"/>
        <v/>
      </c>
      <c r="AJ42" s="218"/>
      <c r="AK42" s="217"/>
      <c r="AL42" s="219"/>
      <c r="AM42" s="48"/>
      <c r="AN42" s="5"/>
      <c r="AP42" s="5"/>
      <c r="BE42" s="5"/>
      <c r="BF42" s="5"/>
    </row>
    <row r="43" spans="2:58" ht="15" customHeight="1">
      <c r="B43" s="337">
        <v>321.10000000000002</v>
      </c>
      <c r="C43" s="191">
        <v>46315</v>
      </c>
      <c r="D43" s="90" t="s">
        <v>77</v>
      </c>
      <c r="E43" s="58">
        <f t="shared" si="28"/>
        <v>321.10000000000002</v>
      </c>
      <c r="F43" s="351" t="s">
        <v>135</v>
      </c>
      <c r="G43" s="343">
        <f t="shared" si="29"/>
        <v>46636.1</v>
      </c>
      <c r="H43" s="344">
        <f t="shared" si="30"/>
        <v>46636.1</v>
      </c>
      <c r="I43" s="343" t="str">
        <f t="shared" si="33"/>
        <v>PRUDENTIAL</v>
      </c>
      <c r="J43" s="383" t="s">
        <v>94</v>
      </c>
      <c r="K43" s="351" t="s">
        <v>99</v>
      </c>
      <c r="L43" s="384" t="str">
        <f t="shared" si="31"/>
        <v>P</v>
      </c>
      <c r="M43" s="465">
        <f>IF(K43="AV",MAX($M$12:M42)+1,0)</f>
        <v>0</v>
      </c>
      <c r="N43" s="458">
        <f>IF(K43="IT",MAX($N$12:N42)+1,0)</f>
        <v>0</v>
      </c>
      <c r="O43" s="458">
        <f>IF(K43="IT2",MAX($O$12:O42)+1,0)</f>
        <v>0</v>
      </c>
      <c r="P43" s="458">
        <f>IF(K43="ITP",MAX($P$12:P42)+1,0)</f>
        <v>3</v>
      </c>
      <c r="Q43" s="458">
        <f>IF(K43="C6",MAX($Q$12:Q42)+1,0)</f>
        <v>0</v>
      </c>
      <c r="R43" s="354"/>
      <c r="S43" s="348" t="str">
        <f t="shared" si="32"/>
        <v/>
      </c>
      <c r="T43" s="308"/>
      <c r="U43" s="308"/>
      <c r="V43" s="537"/>
      <c r="W43" s="538"/>
      <c r="X43" s="578"/>
      <c r="Y43" s="577"/>
      <c r="Z43" s="578"/>
      <c r="AA43" s="578"/>
      <c r="AB43" s="578"/>
      <c r="AC43" s="578"/>
      <c r="AD43" s="497"/>
      <c r="AE43" s="308"/>
      <c r="AF43" s="200" t="str">
        <f t="shared" si="26"/>
        <v/>
      </c>
      <c r="AG43" s="320" t="str">
        <f t="shared" si="2"/>
        <v/>
      </c>
      <c r="AH43" s="33" t="str">
        <f t="shared" si="3"/>
        <v/>
      </c>
      <c r="AI43" s="99" t="str">
        <f t="shared" si="27"/>
        <v/>
      </c>
      <c r="AJ43" s="218"/>
      <c r="AK43" s="217"/>
      <c r="AL43" s="219"/>
      <c r="AM43" s="48"/>
      <c r="AN43" s="5"/>
      <c r="AP43" s="5"/>
      <c r="BE43" s="5"/>
      <c r="BF43" s="5"/>
    </row>
    <row r="44" spans="2:58" ht="15" customHeight="1">
      <c r="B44" s="337">
        <v>248.24</v>
      </c>
      <c r="C44" s="191">
        <v>46311</v>
      </c>
      <c r="D44" s="91" t="s">
        <v>57</v>
      </c>
      <c r="E44" s="58">
        <f t="shared" si="28"/>
        <v>248.24</v>
      </c>
      <c r="F44" s="351" t="s">
        <v>135</v>
      </c>
      <c r="G44" s="343">
        <f t="shared" si="29"/>
        <v>46559.24</v>
      </c>
      <c r="H44" s="344">
        <f t="shared" si="30"/>
        <v>46559.24</v>
      </c>
      <c r="I44" s="343" t="str">
        <f t="shared" si="33"/>
        <v>PRUDENTIAL</v>
      </c>
      <c r="J44" s="383" t="s">
        <v>94</v>
      </c>
      <c r="K44" s="351" t="s">
        <v>8</v>
      </c>
      <c r="L44" s="384" t="str">
        <f t="shared" si="31"/>
        <v>P</v>
      </c>
      <c r="M44" s="465">
        <f>IF(K44="AV",MAX($M$12:M43)+1,0)</f>
        <v>0</v>
      </c>
      <c r="N44" s="458">
        <f>IF(K44="IT",MAX($N$12:N43)+1,0)</f>
        <v>0</v>
      </c>
      <c r="O44" s="458">
        <f>IF(K44="IT2",MAX($O$12:O43)+1,0)</f>
        <v>0</v>
      </c>
      <c r="P44" s="458">
        <f>IF(K44="ITP",MAX($P$12:P43)+1,0)</f>
        <v>0</v>
      </c>
      <c r="Q44" s="458">
        <f>IF(K44="C6",MAX($Q$12:Q43)+1,0)</f>
        <v>2</v>
      </c>
      <c r="R44" s="354"/>
      <c r="S44" s="348" t="str">
        <f t="shared" si="32"/>
        <v/>
      </c>
      <c r="T44" s="308"/>
      <c r="U44" s="308"/>
      <c r="V44" s="537"/>
      <c r="W44" s="538"/>
      <c r="X44" s="578"/>
      <c r="Y44" s="577"/>
      <c r="Z44" s="578">
        <f>SUM(Z42:AA43)</f>
        <v>5309.8</v>
      </c>
      <c r="AA44" s="578"/>
      <c r="AB44" s="578"/>
      <c r="AC44" s="578"/>
      <c r="AD44" s="497"/>
      <c r="AE44" s="308"/>
      <c r="AF44" s="200" t="str">
        <f t="shared" si="26"/>
        <v/>
      </c>
      <c r="AG44" s="320" t="str">
        <f t="shared" si="2"/>
        <v/>
      </c>
      <c r="AH44" s="33" t="str">
        <f t="shared" si="3"/>
        <v/>
      </c>
      <c r="AI44" s="99" t="str">
        <f t="shared" si="27"/>
        <v/>
      </c>
      <c r="AJ44" s="218"/>
      <c r="AK44" s="217"/>
      <c r="AL44" s="219"/>
      <c r="AM44" s="48"/>
      <c r="AN44" s="5"/>
      <c r="AP44" s="5"/>
      <c r="BE44" s="5"/>
      <c r="BF44" s="5"/>
    </row>
    <row r="45" spans="2:58" ht="15" customHeight="1">
      <c r="B45" s="337">
        <v>247.18</v>
      </c>
      <c r="C45" s="191">
        <v>46311</v>
      </c>
      <c r="D45" s="305" t="s">
        <v>58</v>
      </c>
      <c r="E45" s="58">
        <f t="shared" si="28"/>
        <v>247.18</v>
      </c>
      <c r="F45" s="351" t="s">
        <v>135</v>
      </c>
      <c r="G45" s="343">
        <f t="shared" si="29"/>
        <v>46558.18</v>
      </c>
      <c r="H45" s="344">
        <f t="shared" si="30"/>
        <v>46558.18</v>
      </c>
      <c r="I45" s="343" t="str">
        <f t="shared" si="33"/>
        <v>PRUDENTIAL</v>
      </c>
      <c r="J45" s="383" t="s">
        <v>94</v>
      </c>
      <c r="K45" s="351" t="s">
        <v>8</v>
      </c>
      <c r="L45" s="384" t="str">
        <f t="shared" si="31"/>
        <v>P</v>
      </c>
      <c r="M45" s="465">
        <f>IF(K45="AV",MAX($M$12:M44)+1,0)</f>
        <v>0</v>
      </c>
      <c r="N45" s="458">
        <f>IF(K45="IT",MAX($N$12:N44)+1,0)</f>
        <v>0</v>
      </c>
      <c r="O45" s="458">
        <f>IF(K45="IT2",MAX($O$12:O44)+1,0)</f>
        <v>0</v>
      </c>
      <c r="P45" s="458">
        <f>IF(K45="ITP",MAX($P$12:P44)+1,0)</f>
        <v>0</v>
      </c>
      <c r="Q45" s="458">
        <f>IF(K45="C6",MAX($Q$12:Q44)+1,0)</f>
        <v>3</v>
      </c>
      <c r="R45" s="354"/>
      <c r="S45" s="348" t="str">
        <f t="shared" si="32"/>
        <v/>
      </c>
      <c r="T45" s="308"/>
      <c r="U45" s="308"/>
      <c r="V45" s="530"/>
      <c r="W45" s="531"/>
      <c r="X45" s="578"/>
      <c r="Y45" s="577"/>
      <c r="Z45" s="578"/>
      <c r="AA45" s="578"/>
      <c r="AB45" s="578"/>
      <c r="AC45" s="578"/>
      <c r="AD45" s="497"/>
      <c r="AE45" s="308"/>
      <c r="AF45" s="200" t="str">
        <f t="shared" si="26"/>
        <v/>
      </c>
      <c r="AG45" s="320" t="str">
        <f t="shared" si="2"/>
        <v/>
      </c>
      <c r="AH45" s="33" t="str">
        <f t="shared" si="3"/>
        <v/>
      </c>
      <c r="AI45" s="99" t="str">
        <f t="shared" si="27"/>
        <v/>
      </c>
      <c r="AJ45" s="218"/>
      <c r="AK45" s="217"/>
      <c r="AL45" s="219"/>
      <c r="AM45" s="48"/>
      <c r="AN45" s="5"/>
      <c r="AP45" s="5"/>
      <c r="BE45" s="5"/>
      <c r="BF45" s="5"/>
    </row>
    <row r="46" spans="2:58" ht="15" customHeight="1">
      <c r="B46" s="338"/>
      <c r="C46" s="215"/>
      <c r="D46" s="306"/>
      <c r="E46" s="67"/>
      <c r="F46" s="356"/>
      <c r="G46" s="345"/>
      <c r="H46" s="346" t="str">
        <f t="shared" si="30"/>
        <v/>
      </c>
      <c r="I46" s="345" t="str">
        <f t="shared" si="33"/>
        <v/>
      </c>
      <c r="J46" s="358"/>
      <c r="K46" s="356"/>
      <c r="L46" s="359"/>
      <c r="M46" s="466">
        <f>IF(K46="AV",MAX($M$12:M45)+1,0)</f>
        <v>0</v>
      </c>
      <c r="N46" s="459">
        <f>IF(K46="IT",MAX($N$12:N45)+1,0)</f>
        <v>0</v>
      </c>
      <c r="O46" s="459">
        <f>IF(K46="IT2",MAX($O$12:O45)+1,0)</f>
        <v>0</v>
      </c>
      <c r="P46" s="459">
        <f>IF(K46="ITP",MAX($P$12:P45)+1,0)</f>
        <v>0</v>
      </c>
      <c r="Q46" s="459">
        <f>IF(K46="C6",MAX($Q$12:Q45)+1,0)</f>
        <v>0</v>
      </c>
      <c r="R46" s="364"/>
      <c r="S46" s="349" t="str">
        <f t="shared" si="32"/>
        <v/>
      </c>
      <c r="T46" s="312"/>
      <c r="U46" s="312"/>
      <c r="V46" s="308"/>
      <c r="W46" s="308"/>
      <c r="X46" s="308"/>
      <c r="Y46" s="308"/>
      <c r="Z46" s="308"/>
      <c r="AA46" s="308"/>
      <c r="AB46" s="308"/>
      <c r="AC46" s="308"/>
      <c r="AD46" s="497"/>
      <c r="AE46" s="312"/>
      <c r="AF46" s="200" t="str">
        <f t="shared" si="26"/>
        <v/>
      </c>
      <c r="AG46" s="320" t="str">
        <f t="shared" si="2"/>
        <v/>
      </c>
      <c r="AH46" s="33" t="str">
        <f t="shared" si="3"/>
        <v/>
      </c>
      <c r="AI46" s="99" t="str">
        <f t="shared" si="27"/>
        <v/>
      </c>
      <c r="AJ46" s="218"/>
      <c r="AK46" s="217"/>
      <c r="AL46" s="219"/>
      <c r="AM46" s="48"/>
      <c r="AN46" s="5"/>
      <c r="AP46" s="5"/>
      <c r="BE46" s="5"/>
      <c r="BF46" s="5"/>
    </row>
    <row r="47" spans="2:58" ht="15" customHeight="1">
      <c r="B47" s="308"/>
      <c r="C47" s="308"/>
      <c r="D47" s="308"/>
      <c r="E47" s="308"/>
      <c r="F47" s="308"/>
      <c r="G47" s="308"/>
      <c r="H47" s="308"/>
      <c r="I47" s="308"/>
      <c r="J47" s="308"/>
      <c r="K47" s="308"/>
      <c r="L47" s="308"/>
      <c r="M47" s="308"/>
      <c r="N47" s="308"/>
      <c r="O47" s="308"/>
      <c r="P47" s="308"/>
      <c r="Q47" s="308"/>
      <c r="R47" s="308"/>
      <c r="S47" s="308"/>
      <c r="T47" s="312"/>
      <c r="U47" s="312"/>
      <c r="V47" s="308"/>
      <c r="W47" s="308"/>
      <c r="X47" s="308"/>
      <c r="Y47" s="308"/>
      <c r="Z47" s="308"/>
      <c r="AA47" s="308"/>
      <c r="AB47" s="308"/>
      <c r="AC47" s="308"/>
      <c r="AD47" s="497"/>
      <c r="AE47" s="312"/>
      <c r="AF47" s="200" t="str">
        <f t="shared" si="26"/>
        <v/>
      </c>
      <c r="AG47" s="320" t="str">
        <f t="shared" si="2"/>
        <v/>
      </c>
      <c r="AH47" s="33" t="str">
        <f t="shared" si="3"/>
        <v/>
      </c>
      <c r="AI47" s="99" t="str">
        <f t="shared" si="27"/>
        <v/>
      </c>
      <c r="AJ47" s="218"/>
      <c r="AK47" s="217"/>
      <c r="AL47" s="219"/>
      <c r="AM47" s="48"/>
      <c r="AN47" s="5"/>
      <c r="AP47" s="5"/>
      <c r="BE47" s="5"/>
      <c r="BF47" s="5"/>
    </row>
    <row r="48" spans="2:58" ht="15" customHeight="1">
      <c r="B48" s="545" t="s">
        <v>127</v>
      </c>
      <c r="C48" s="546"/>
      <c r="D48" s="547"/>
      <c r="E48" s="551">
        <f>SUM(E50:E54)</f>
        <v>0</v>
      </c>
      <c r="F48" s="552"/>
      <c r="G48" s="322"/>
      <c r="H48" s="220"/>
      <c r="I48" s="342" t="str">
        <f t="shared" si="14"/>
        <v/>
      </c>
      <c r="J48" s="555">
        <f>SUM(S50:S54)</f>
        <v>0</v>
      </c>
      <c r="K48" s="555"/>
      <c r="L48" s="556"/>
      <c r="M48" s="460"/>
      <c r="N48" s="456"/>
      <c r="O48" s="456"/>
      <c r="P48" s="456"/>
      <c r="Q48" s="461"/>
      <c r="R48" s="559">
        <f>SUM(E48,J48)</f>
        <v>0</v>
      </c>
      <c r="S48" s="560"/>
      <c r="T48" s="312"/>
      <c r="U48" s="312"/>
      <c r="V48" s="574" t="s">
        <v>306</v>
      </c>
      <c r="W48" s="563" t="s">
        <v>307</v>
      </c>
      <c r="X48" s="576" t="s">
        <v>379</v>
      </c>
      <c r="Y48" s="542" t="s">
        <v>87</v>
      </c>
      <c r="Z48" s="542" t="s">
        <v>125</v>
      </c>
      <c r="AA48" s="542" t="s">
        <v>124</v>
      </c>
      <c r="AB48" s="542" t="s">
        <v>122</v>
      </c>
      <c r="AC48" s="310"/>
      <c r="AF48" s="200" t="str">
        <f t="shared" si="26"/>
        <v/>
      </c>
      <c r="AG48" s="320" t="str">
        <f t="shared" si="2"/>
        <v/>
      </c>
      <c r="AH48" s="33" t="str">
        <f t="shared" si="3"/>
        <v/>
      </c>
      <c r="AI48" s="99" t="str">
        <f t="shared" si="27"/>
        <v/>
      </c>
      <c r="AJ48" s="218"/>
      <c r="AK48" s="217"/>
      <c r="AL48" s="219"/>
      <c r="AM48" s="48"/>
      <c r="AN48" s="5"/>
      <c r="AP48" s="5"/>
      <c r="BE48" s="5"/>
      <c r="BF48" s="5"/>
    </row>
    <row r="49" spans="2:58" ht="15" customHeight="1">
      <c r="B49" s="548"/>
      <c r="C49" s="549"/>
      <c r="D49" s="550"/>
      <c r="E49" s="553"/>
      <c r="F49" s="554"/>
      <c r="G49" s="323"/>
      <c r="H49" s="222"/>
      <c r="I49" s="346" t="str">
        <f t="shared" si="14"/>
        <v/>
      </c>
      <c r="J49" s="557"/>
      <c r="K49" s="557"/>
      <c r="L49" s="558"/>
      <c r="M49" s="462"/>
      <c r="N49" s="457"/>
      <c r="O49" s="457"/>
      <c r="P49" s="457"/>
      <c r="Q49" s="463"/>
      <c r="R49" s="561"/>
      <c r="S49" s="562"/>
      <c r="T49" s="308"/>
      <c r="U49" s="308"/>
      <c r="V49" s="575"/>
      <c r="W49" s="564"/>
      <c r="X49" s="576"/>
      <c r="Y49" s="543"/>
      <c r="Z49" s="543"/>
      <c r="AA49" s="543"/>
      <c r="AB49" s="543"/>
      <c r="AC49" s="310"/>
      <c r="AF49" s="200" t="str">
        <f t="shared" si="26"/>
        <v/>
      </c>
      <c r="AG49" s="320" t="str">
        <f t="shared" si="2"/>
        <v/>
      </c>
      <c r="AH49" s="33" t="str">
        <f t="shared" si="3"/>
        <v/>
      </c>
      <c r="AI49" s="99" t="str">
        <f t="shared" si="27"/>
        <v/>
      </c>
      <c r="AJ49" s="218"/>
      <c r="AK49" s="217"/>
      <c r="AL49" s="219"/>
      <c r="AM49" s="48"/>
      <c r="AN49" s="5"/>
      <c r="AP49" s="5"/>
      <c r="BE49" s="5"/>
      <c r="BF49" s="5"/>
    </row>
    <row r="50" spans="2:58" ht="15" customHeight="1">
      <c r="B50" s="337"/>
      <c r="C50" s="191"/>
      <c r="D50" s="74"/>
      <c r="E50" s="348" t="str">
        <f>IF(OR(B50="",F50="Pago"),"",B50)</f>
        <v/>
      </c>
      <c r="F50" s="351"/>
      <c r="G50" s="343" t="str">
        <f>IF(B50="","",B50+C50)</f>
        <v/>
      </c>
      <c r="H50" s="344" t="str">
        <f>IFERROR(VLOOKUP(G50,$AG$5:$AG$174,1,0),"")</f>
        <v/>
      </c>
      <c r="I50" s="343" t="str">
        <f>IF(H50="","","METRÔ")</f>
        <v/>
      </c>
      <c r="J50" s="383"/>
      <c r="K50" s="385"/>
      <c r="L50" s="384" t="str">
        <f>IF(K50="AV","8",IF(AND(G50="",H50=""),"",IF(G50=H50,"P",IF(G50&lt;&gt;H50,"O"))))</f>
        <v/>
      </c>
      <c r="M50" s="465">
        <f>IF(K50="AV",MAX($M$12:M49)+1,0)</f>
        <v>0</v>
      </c>
      <c r="N50" s="458">
        <f>IF(K50="IT",MAX($N$12:N49)+1,0)</f>
        <v>0</v>
      </c>
      <c r="O50" s="458">
        <f>IF(K50="IT2",MAX($O$12:O49)+1,0)</f>
        <v>0</v>
      </c>
      <c r="P50" s="458">
        <f>IF(K50="ITP",MAX($P$12:P49)+1,0)</f>
        <v>0</v>
      </c>
      <c r="Q50" s="458">
        <f>IF(K50="C6",MAX($Q$12:Q49)+1,0)</f>
        <v>0</v>
      </c>
      <c r="R50" s="354"/>
      <c r="S50" s="347" t="str">
        <f>IF(F50="Pago",B50,"")</f>
        <v/>
      </c>
      <c r="T50" s="308"/>
      <c r="U50" s="308"/>
      <c r="V50" s="429" t="s">
        <v>237</v>
      </c>
      <c r="W50" s="92">
        <f t="shared" ref="W50:W65" si="35">SUM(Y50:AC50)</f>
        <v>4065.24</v>
      </c>
      <c r="X50" s="491"/>
      <c r="Y50" s="335"/>
      <c r="Z50" s="335">
        <f>SUMIFS($B$12:$B$16,$J$12:$J$16,"F")</f>
        <v>0</v>
      </c>
      <c r="AA50" s="335">
        <f>SUMIFS($B$12:$B$16,$J$12:$J$16,"J")</f>
        <v>0</v>
      </c>
      <c r="AB50" s="335">
        <f>SUMIFS($B$12:$B$16,$J$12:$J$16,"G")</f>
        <v>4065.24</v>
      </c>
      <c r="AC50" s="170"/>
      <c r="AF50" s="200" t="str">
        <f t="shared" si="26"/>
        <v/>
      </c>
      <c r="AG50" s="320" t="str">
        <f t="shared" si="2"/>
        <v/>
      </c>
      <c r="AH50" s="33" t="str">
        <f t="shared" si="3"/>
        <v/>
      </c>
      <c r="AI50" s="99" t="str">
        <f t="shared" si="27"/>
        <v/>
      </c>
      <c r="AJ50" s="218"/>
      <c r="AK50" s="217"/>
      <c r="AL50" s="219"/>
      <c r="AM50" s="48"/>
      <c r="AN50" s="5"/>
      <c r="AP50" s="5"/>
      <c r="BE50" s="5"/>
      <c r="BF50" s="5"/>
    </row>
    <row r="51" spans="2:58" ht="15" customHeight="1">
      <c r="B51" s="337"/>
      <c r="C51" s="191"/>
      <c r="D51" s="74"/>
      <c r="E51" s="348" t="str">
        <f t="shared" ref="E51:E54" si="36">IF(OR(B51="",F51="Pago"),"",B51)</f>
        <v/>
      </c>
      <c r="F51" s="351"/>
      <c r="G51" s="343" t="str">
        <f>IF(B51="","",B51+C51)</f>
        <v/>
      </c>
      <c r="H51" s="344" t="str">
        <f>IFERROR(VLOOKUP(G51,$AG$5:$AG$174,1,0),"")</f>
        <v/>
      </c>
      <c r="I51" s="343" t="str">
        <f t="shared" ref="I51:I54" si="37">IF(H51="","","METRÔ")</f>
        <v/>
      </c>
      <c r="J51" s="383"/>
      <c r="K51" s="351"/>
      <c r="L51" s="384" t="str">
        <f>IF(K51="AV","8",IF(AND(G51="",H51=""),"",IF(G51=H51,"P",IF(G51&lt;&gt;H51,"O"))))</f>
        <v/>
      </c>
      <c r="M51" s="465">
        <f>IF(K51="AV",MAX($M$12:M50)+1,0)</f>
        <v>0</v>
      </c>
      <c r="N51" s="458">
        <f>IF(K51="IT",MAX($N$12:N50)+1,0)</f>
        <v>0</v>
      </c>
      <c r="O51" s="458">
        <f>IF(K51="IT2",MAX($O$12:O50)+1,0)</f>
        <v>0</v>
      </c>
      <c r="P51" s="458">
        <f>IF(K51="ITP",MAX($P$12:P50)+1,0)</f>
        <v>0</v>
      </c>
      <c r="Q51" s="458">
        <f>IF(K51="C6",MAX($Q$12:Q50)+1,0)</f>
        <v>0</v>
      </c>
      <c r="R51" s="354"/>
      <c r="S51" s="348" t="str">
        <f>IF(F51="Pago",B51,"")</f>
        <v/>
      </c>
      <c r="T51" s="308"/>
      <c r="U51" s="308"/>
      <c r="V51" s="429" t="s">
        <v>106</v>
      </c>
      <c r="W51" s="94">
        <f t="shared" si="35"/>
        <v>1800</v>
      </c>
      <c r="X51" s="492"/>
      <c r="Y51" s="335"/>
      <c r="Z51" s="335">
        <f>SUMIFS($B$20:$B$24,$J$20:$J$24,"F")</f>
        <v>0</v>
      </c>
      <c r="AA51" s="335">
        <f>SUMIFS($B$20:$B$24,$J$20:$J$24,"J")</f>
        <v>0</v>
      </c>
      <c r="AB51" s="335">
        <f>SUMIFS($B$20:$B$24,$J$20:$J$24,"G")</f>
        <v>1800</v>
      </c>
      <c r="AC51" s="170"/>
      <c r="AF51" s="200" t="str">
        <f t="shared" si="26"/>
        <v/>
      </c>
      <c r="AG51" s="320" t="str">
        <f t="shared" si="2"/>
        <v/>
      </c>
      <c r="AH51" s="33" t="str">
        <f t="shared" si="3"/>
        <v/>
      </c>
      <c r="AI51" s="99" t="str">
        <f t="shared" si="27"/>
        <v/>
      </c>
      <c r="AJ51" s="218"/>
      <c r="AK51" s="217"/>
      <c r="AL51" s="219"/>
      <c r="AM51" s="48"/>
      <c r="AN51" s="5"/>
      <c r="AP51" s="5"/>
      <c r="BE51" s="5"/>
      <c r="BF51" s="5"/>
    </row>
    <row r="52" spans="2:58" ht="15" customHeight="1">
      <c r="B52" s="337"/>
      <c r="C52" s="191"/>
      <c r="D52" s="74"/>
      <c r="E52" s="348" t="str">
        <f t="shared" si="36"/>
        <v/>
      </c>
      <c r="F52" s="351"/>
      <c r="G52" s="343" t="str">
        <f>IF(B52="","",B52+C52)</f>
        <v/>
      </c>
      <c r="H52" s="344" t="str">
        <f>IFERROR(VLOOKUP(G52,$AG$5:$AG$174,1,0),"")</f>
        <v/>
      </c>
      <c r="I52" s="343" t="str">
        <f t="shared" si="37"/>
        <v/>
      </c>
      <c r="J52" s="383"/>
      <c r="K52" s="351"/>
      <c r="L52" s="384" t="str">
        <f>IF(K52="AV","8",IF(AND(G52="",H52=""),"",IF(G52=H52,"P",IF(G52&lt;&gt;H52,"O"))))</f>
        <v/>
      </c>
      <c r="M52" s="465">
        <f>IF(K52="AV",MAX($M$12:M51)+1,0)</f>
        <v>0</v>
      </c>
      <c r="N52" s="458">
        <f>IF(K52="IT",MAX($N$12:N51)+1,0)</f>
        <v>0</v>
      </c>
      <c r="O52" s="458">
        <f>IF(K52="IT2",MAX($O$12:O51)+1,0)</f>
        <v>0</v>
      </c>
      <c r="P52" s="458">
        <f>IF(K52="ITP",MAX($P$12:P51)+1,0)</f>
        <v>0</v>
      </c>
      <c r="Q52" s="458">
        <f>IF(K52="C6",MAX($Q$12:Q51)+1,0)</f>
        <v>0</v>
      </c>
      <c r="R52" s="354"/>
      <c r="S52" s="348" t="str">
        <f t="shared" ref="S52:S77" si="38">IF(F52="Pago",B52,"")</f>
        <v/>
      </c>
      <c r="T52" s="308"/>
      <c r="U52" s="308"/>
      <c r="V52" s="429" t="s">
        <v>29</v>
      </c>
      <c r="W52" s="94">
        <f t="shared" si="35"/>
        <v>1077.5800000000002</v>
      </c>
      <c r="X52" s="492"/>
      <c r="Y52" s="335"/>
      <c r="Z52" s="335">
        <f>SUMIFS($B$41:$B$46,$J$41:$J$46,"F")</f>
        <v>0</v>
      </c>
      <c r="AA52" s="335">
        <f>SUMIFS($B$41:$B$46,$J$41:$J$46,"J")</f>
        <v>0</v>
      </c>
      <c r="AB52" s="335">
        <f>SUMIFS($B$41:$B$46,$J$41:$J$46,"G")</f>
        <v>1077.5800000000002</v>
      </c>
      <c r="AC52" s="170"/>
      <c r="AF52" s="200" t="str">
        <f t="shared" si="26"/>
        <v/>
      </c>
      <c r="AG52" s="320" t="str">
        <f t="shared" si="2"/>
        <v/>
      </c>
      <c r="AH52" s="33" t="str">
        <f t="shared" si="3"/>
        <v/>
      </c>
      <c r="AI52" s="99" t="str">
        <f t="shared" si="27"/>
        <v/>
      </c>
      <c r="AJ52" s="218"/>
      <c r="AK52" s="217"/>
      <c r="AL52" s="219"/>
      <c r="AM52" s="48"/>
      <c r="AN52" s="5"/>
      <c r="AP52" s="5"/>
      <c r="BE52" s="5"/>
      <c r="BF52" s="5"/>
    </row>
    <row r="53" spans="2:58" ht="15" customHeight="1">
      <c r="B53" s="337"/>
      <c r="C53" s="191"/>
      <c r="D53" s="74"/>
      <c r="E53" s="348" t="str">
        <f t="shared" si="36"/>
        <v/>
      </c>
      <c r="F53" s="351"/>
      <c r="G53" s="343" t="str">
        <f>IF(B53="","",B53+C53)</f>
        <v/>
      </c>
      <c r="H53" s="344" t="str">
        <f>IFERROR(VLOOKUP(G53,$AG$5:$AG$174,1,0),"")</f>
        <v/>
      </c>
      <c r="I53" s="343" t="str">
        <f t="shared" si="37"/>
        <v/>
      </c>
      <c r="J53" s="383"/>
      <c r="K53" s="351"/>
      <c r="L53" s="384" t="str">
        <f>IF(K53="AV","8",IF(AND(G53="",H53=""),"",IF(G53=H53,"P",IF(G53&lt;&gt;H53,"O"))))</f>
        <v/>
      </c>
      <c r="M53" s="465">
        <f>IF(K53="AV",MAX($M$12:M52)+1,0)</f>
        <v>0</v>
      </c>
      <c r="N53" s="458">
        <f>IF(K53="IT",MAX($N$12:N52)+1,0)</f>
        <v>0</v>
      </c>
      <c r="O53" s="458">
        <f>IF(K53="IT2",MAX($O$12:O52)+1,0)</f>
        <v>0</v>
      </c>
      <c r="P53" s="458">
        <f>IF(K53="ITP",MAX($P$12:P52)+1,0)</f>
        <v>0</v>
      </c>
      <c r="Q53" s="458">
        <f>IF(K53="C6",MAX($Q$12:Q52)+1,0)</f>
        <v>0</v>
      </c>
      <c r="R53" s="354"/>
      <c r="S53" s="348" t="str">
        <f t="shared" si="38"/>
        <v/>
      </c>
      <c r="T53" s="308"/>
      <c r="U53" s="308"/>
      <c r="V53" s="429" t="s">
        <v>16</v>
      </c>
      <c r="W53" s="94">
        <f t="shared" si="35"/>
        <v>223.98000000000002</v>
      </c>
      <c r="X53" s="492"/>
      <c r="Y53" s="335"/>
      <c r="Z53" s="335">
        <f>SUMIFS($B$28:$B$37,$J$28:$J$37,"F")</f>
        <v>0</v>
      </c>
      <c r="AA53" s="335">
        <f>SUMIFS($B$28:$B$37,$J$28:$J$37,"J")</f>
        <v>29.049999999999997</v>
      </c>
      <c r="AB53" s="335">
        <f>SUMIFS($B$28:$B$37,$J$28:$J$37,"G")</f>
        <v>194.93</v>
      </c>
      <c r="AC53" s="170"/>
      <c r="AF53" s="200" t="str">
        <f t="shared" si="26"/>
        <v/>
      </c>
      <c r="AG53" s="320" t="str">
        <f t="shared" si="2"/>
        <v/>
      </c>
      <c r="AH53" s="33" t="str">
        <f t="shared" si="3"/>
        <v/>
      </c>
      <c r="AI53" s="99" t="str">
        <f t="shared" si="27"/>
        <v/>
      </c>
      <c r="AJ53" s="218"/>
      <c r="AK53" s="217"/>
      <c r="AL53" s="219"/>
      <c r="AM53" s="48"/>
      <c r="AN53" s="5"/>
      <c r="AP53" s="5"/>
      <c r="BE53" s="5"/>
      <c r="BF53" s="5"/>
    </row>
    <row r="54" spans="2:58" ht="15" customHeight="1">
      <c r="B54" s="338"/>
      <c r="C54" s="215"/>
      <c r="D54" s="76"/>
      <c r="E54" s="349" t="str">
        <f t="shared" si="36"/>
        <v/>
      </c>
      <c r="F54" s="356"/>
      <c r="G54" s="345" t="str">
        <f>IF(B54="","",B54+C54)</f>
        <v/>
      </c>
      <c r="H54" s="345" t="str">
        <f>IFERROR(VLOOKUP(G54,$AG$5:$AG$174,1,0),"")</f>
        <v/>
      </c>
      <c r="I54" s="345" t="str">
        <f t="shared" si="37"/>
        <v/>
      </c>
      <c r="J54" s="358"/>
      <c r="K54" s="356"/>
      <c r="L54" s="359" t="str">
        <f>IF(K54="AV","8",IF(AND(G54="",H54=""),"",IF(G54=H54,"P",IF(G54&lt;&gt;H54,"O"))))</f>
        <v/>
      </c>
      <c r="M54" s="466">
        <f>IF(K54="AV",MAX($M$12:M53)+1,0)</f>
        <v>0</v>
      </c>
      <c r="N54" s="459">
        <f>IF(K54="IT",MAX($N$12:N53)+1,0)</f>
        <v>0</v>
      </c>
      <c r="O54" s="459">
        <f>IF(K54="IT2",MAX($O$12:O53)+1,0)</f>
        <v>0</v>
      </c>
      <c r="P54" s="459">
        <f>IF(K54="ITP",MAX($P$12:P53)+1,0)</f>
        <v>0</v>
      </c>
      <c r="Q54" s="459">
        <f>IF(K54="C6",MAX($Q$12:Q53)+1,0)</f>
        <v>0</v>
      </c>
      <c r="R54" s="364"/>
      <c r="S54" s="349" t="str">
        <f t="shared" si="38"/>
        <v/>
      </c>
      <c r="T54" s="308"/>
      <c r="U54" s="308"/>
      <c r="V54" s="429" t="s">
        <v>20</v>
      </c>
      <c r="W54" s="94">
        <f t="shared" si="35"/>
        <v>1500</v>
      </c>
      <c r="X54" s="492" t="str">
        <f>IF(W54&gt;1500,W54-1500,"R$ 0,00")</f>
        <v>R$ 0,00</v>
      </c>
      <c r="Y54" s="335">
        <f>IF(1500-Z54-AA54-AB54&lt;0,"R$ 0,00",1500-Z54-AA54-AB54)</f>
        <v>680.91</v>
      </c>
      <c r="Z54" s="335">
        <f>SUMIFS($B$58:$B$77,$J$58:$J$77,"F")</f>
        <v>0</v>
      </c>
      <c r="AA54" s="335">
        <f>SUMIFS($B$58:$B$77,$J$58:$J$77,"J")</f>
        <v>0</v>
      </c>
      <c r="AB54" s="335">
        <f>SUMIFS($B$58:$B$77,$J$58:$J$77,"G")</f>
        <v>819.09</v>
      </c>
      <c r="AC54" s="170"/>
      <c r="AF54" s="200" t="str">
        <f t="shared" si="26"/>
        <v/>
      </c>
      <c r="AG54" s="320" t="str">
        <f t="shared" si="2"/>
        <v/>
      </c>
      <c r="AH54" s="33" t="str">
        <f t="shared" si="3"/>
        <v/>
      </c>
      <c r="AI54" s="99" t="str">
        <f t="shared" si="27"/>
        <v/>
      </c>
      <c r="AJ54" s="218"/>
      <c r="AK54" s="217"/>
      <c r="AL54" s="219"/>
      <c r="AM54" s="48"/>
      <c r="AN54" s="5"/>
      <c r="AP54" s="5"/>
      <c r="BE54" s="5"/>
      <c r="BF54" s="5"/>
    </row>
    <row r="55" spans="2:58" ht="15" customHeight="1">
      <c r="B55" s="308"/>
      <c r="C55" s="308"/>
      <c r="D55" s="308"/>
      <c r="E55" s="308"/>
      <c r="F55" s="308"/>
      <c r="G55" s="308"/>
      <c r="H55" s="308"/>
      <c r="I55" s="308"/>
      <c r="J55" s="308"/>
      <c r="K55" s="308"/>
      <c r="L55" s="308"/>
      <c r="M55" s="308"/>
      <c r="N55" s="308"/>
      <c r="O55" s="308"/>
      <c r="P55" s="308"/>
      <c r="Q55" s="308"/>
      <c r="R55" s="308"/>
      <c r="S55" s="308"/>
      <c r="T55" s="308"/>
      <c r="U55" s="308"/>
      <c r="V55" s="429" t="s">
        <v>44</v>
      </c>
      <c r="W55" s="94">
        <f t="shared" si="35"/>
        <v>200</v>
      </c>
      <c r="X55" s="492" t="str">
        <f>IF(W55&gt;200,W55-200,"R$ 0,00")</f>
        <v>R$ 0,00</v>
      </c>
      <c r="Y55" s="335">
        <f>IF(200-Z55-AA55-AB55&lt;0,"R$ 0,00",200-Z55-AA55-AB55)</f>
        <v>200</v>
      </c>
      <c r="Z55" s="335">
        <f>SUMIFS($B$50:$B$54,$J$50:$J$54,"F")</f>
        <v>0</v>
      </c>
      <c r="AA55" s="335">
        <f>SUMIFS($B$50:$B$54,$J$50:$J$54,"J")</f>
        <v>0</v>
      </c>
      <c r="AB55" s="335">
        <f>SUMIFS($B$50:$B$54,$J$50:$J$54,"G")</f>
        <v>0</v>
      </c>
      <c r="AC55" s="170"/>
      <c r="AF55" s="200" t="str">
        <f t="shared" si="26"/>
        <v/>
      </c>
      <c r="AG55" s="320" t="str">
        <f t="shared" si="2"/>
        <v/>
      </c>
      <c r="AH55" s="33" t="str">
        <f t="shared" si="3"/>
        <v/>
      </c>
      <c r="AI55" s="99" t="str">
        <f t="shared" si="27"/>
        <v/>
      </c>
      <c r="AJ55" s="218"/>
      <c r="AK55" s="217"/>
      <c r="AL55" s="219"/>
      <c r="AM55" s="48"/>
      <c r="AN55" s="5"/>
      <c r="AP55" s="5"/>
      <c r="BE55" s="5"/>
      <c r="BF55" s="5"/>
    </row>
    <row r="56" spans="2:58" ht="15" customHeight="1">
      <c r="B56" s="545" t="s">
        <v>298</v>
      </c>
      <c r="C56" s="546"/>
      <c r="D56" s="547"/>
      <c r="E56" s="551">
        <f>SUM(E58:E77)</f>
        <v>819.09</v>
      </c>
      <c r="F56" s="552"/>
      <c r="G56" s="322"/>
      <c r="H56" s="220"/>
      <c r="I56" s="342" t="str">
        <f t="shared" si="14"/>
        <v/>
      </c>
      <c r="J56" s="555">
        <f>SUM(S58:S62)</f>
        <v>0</v>
      </c>
      <c r="K56" s="555"/>
      <c r="L56" s="556"/>
      <c r="M56" s="460"/>
      <c r="N56" s="456"/>
      <c r="O56" s="456"/>
      <c r="P56" s="456"/>
      <c r="Q56" s="461"/>
      <c r="R56" s="573">
        <f>SUM(E56,J56)</f>
        <v>819.09</v>
      </c>
      <c r="S56" s="573"/>
      <c r="T56" s="308"/>
      <c r="U56" s="308"/>
      <c r="V56" s="440" t="s">
        <v>9</v>
      </c>
      <c r="W56" s="94">
        <f t="shared" si="35"/>
        <v>500</v>
      </c>
      <c r="X56" s="492" t="str">
        <f>IF(W56&gt;500,W56-500,"R$ 0,00")</f>
        <v>R$ 0,00</v>
      </c>
      <c r="Y56" s="335">
        <f>IF(500-Z56-AA56-AB56&lt;0,"R$ 0,00",500-Z56-AA56-AB56)</f>
        <v>500</v>
      </c>
      <c r="Z56" s="335">
        <f>SUMIFS($B$142:$B$173,$J$142:$J$173,"F")</f>
        <v>0</v>
      </c>
      <c r="AA56" s="335">
        <f>SUMIFS($B$142:$B$173,$J$142:$J$173,"J")</f>
        <v>0</v>
      </c>
      <c r="AB56" s="335">
        <f>SUMIFS($B$142:$B$173,$J$142:$J$173,"G")</f>
        <v>0</v>
      </c>
      <c r="AC56" s="170"/>
      <c r="AF56" s="200" t="str">
        <f t="shared" si="26"/>
        <v/>
      </c>
      <c r="AG56" s="320" t="str">
        <f t="shared" si="2"/>
        <v/>
      </c>
      <c r="AH56" s="33" t="str">
        <f t="shared" si="3"/>
        <v/>
      </c>
      <c r="AI56" s="99" t="str">
        <f t="shared" si="27"/>
        <v/>
      </c>
      <c r="AJ56" s="218"/>
      <c r="AK56" s="217"/>
      <c r="AL56" s="219"/>
      <c r="AM56" s="48"/>
      <c r="AN56" s="5"/>
      <c r="AP56" s="5"/>
      <c r="BE56" s="5"/>
      <c r="BF56" s="5"/>
    </row>
    <row r="57" spans="2:58" ht="15" customHeight="1">
      <c r="B57" s="548"/>
      <c r="C57" s="549"/>
      <c r="D57" s="550"/>
      <c r="E57" s="553"/>
      <c r="F57" s="554"/>
      <c r="G57" s="323"/>
      <c r="H57" s="222"/>
      <c r="I57" s="346" t="str">
        <f t="shared" si="14"/>
        <v/>
      </c>
      <c r="J57" s="557"/>
      <c r="K57" s="557"/>
      <c r="L57" s="558"/>
      <c r="M57" s="462"/>
      <c r="N57" s="457"/>
      <c r="O57" s="457"/>
      <c r="P57" s="457"/>
      <c r="Q57" s="463"/>
      <c r="R57" s="573"/>
      <c r="S57" s="573"/>
      <c r="T57" s="308"/>
      <c r="U57" s="308"/>
      <c r="V57" s="429" t="s">
        <v>238</v>
      </c>
      <c r="W57" s="94">
        <f t="shared" si="35"/>
        <v>439.66</v>
      </c>
      <c r="X57" s="492"/>
      <c r="Y57" s="335"/>
      <c r="Z57" s="335">
        <f>SUMIFS($B$81:$B$95,$J$81:$J$95,"F")</f>
        <v>106.64</v>
      </c>
      <c r="AA57" s="335">
        <f>SUMIFS($B$81:$B$95,$J$81:$J$95,"J")</f>
        <v>38.29</v>
      </c>
      <c r="AB57" s="335">
        <f>SUMIFS($B$81:$B$95,$J$81:$J$95,"G")</f>
        <v>294.73</v>
      </c>
      <c r="AC57" s="170"/>
      <c r="AF57" s="200" t="str">
        <f t="shared" si="26"/>
        <v/>
      </c>
      <c r="AG57" s="320" t="str">
        <f t="shared" si="2"/>
        <v/>
      </c>
      <c r="AH57" s="33" t="str">
        <f t="shared" si="3"/>
        <v/>
      </c>
      <c r="AI57" s="99" t="str">
        <f t="shared" si="27"/>
        <v/>
      </c>
      <c r="AJ57" s="218"/>
      <c r="AK57" s="217"/>
      <c r="AL57" s="219"/>
      <c r="AM57" s="48"/>
      <c r="AN57" s="5"/>
      <c r="AO57" s="3"/>
      <c r="AP57" s="5"/>
      <c r="BE57" s="5"/>
      <c r="BF57" s="5"/>
    </row>
    <row r="58" spans="2:58" ht="15" customHeight="1">
      <c r="B58" s="337">
        <v>27</v>
      </c>
      <c r="C58" s="191">
        <v>46306</v>
      </c>
      <c r="D58" s="74" t="s">
        <v>388</v>
      </c>
      <c r="E58" s="58">
        <f t="shared" ref="E58:E66" si="39">IF(OR(B58="",F58="Pago"),"",B58)</f>
        <v>27</v>
      </c>
      <c r="F58" s="351" t="s">
        <v>135</v>
      </c>
      <c r="G58" s="343">
        <f t="shared" ref="G58:G64" si="40">IF(B58="","",B58+C58)</f>
        <v>46333</v>
      </c>
      <c r="H58" s="344">
        <f t="shared" ref="H58:H63" si="41">IFERROR(VLOOKUP(G58,$AG$5:$AG$174,1,0),"")</f>
        <v>46333</v>
      </c>
      <c r="I58" s="343" t="str">
        <f>IF(H58="","","SUPER")</f>
        <v>SUPER</v>
      </c>
      <c r="J58" s="387" t="s">
        <v>94</v>
      </c>
      <c r="K58" s="351" t="s">
        <v>90</v>
      </c>
      <c r="L58" s="384" t="str">
        <f t="shared" ref="L58:L62" si="42">IF(K58="AV","8",IF(AND(G58="",H58=""),"",IF(G58=H58,"P",IF(G58&lt;&gt;H58,"O"))))</f>
        <v>P</v>
      </c>
      <c r="M58" s="465">
        <f>IF(K58="AV",MAX($M$12:M57)+1,0)</f>
        <v>0</v>
      </c>
      <c r="N58" s="458">
        <f>IF(K58="IT",MAX($N$12:N57)+1,0)</f>
        <v>5</v>
      </c>
      <c r="O58" s="458">
        <f>IF(K58="IT2",MAX($O$12:O57)+1,0)</f>
        <v>0</v>
      </c>
      <c r="P58" s="458">
        <f>IF(K58="ITP",MAX($P$12:P57)+1,0)</f>
        <v>0</v>
      </c>
      <c r="Q58" s="458">
        <f>IF(K58="C6",MAX($Q$12:Q57)+1,0)</f>
        <v>0</v>
      </c>
      <c r="R58" s="367"/>
      <c r="S58" s="348" t="str">
        <f t="shared" si="38"/>
        <v/>
      </c>
      <c r="T58" s="308"/>
      <c r="U58" s="308"/>
      <c r="V58" s="429" t="s">
        <v>28</v>
      </c>
      <c r="W58" s="94">
        <f t="shared" si="35"/>
        <v>226.2</v>
      </c>
      <c r="X58" s="492"/>
      <c r="Y58" s="335"/>
      <c r="Z58" s="335">
        <f>SUMIFS($B$107:$B$114,$J$107:$J$114,"F")</f>
        <v>226.2</v>
      </c>
      <c r="AA58" s="335">
        <f>SUMIFS($B$107:$B$114,$J$107:$J$114,"J")</f>
        <v>0</v>
      </c>
      <c r="AB58" s="335">
        <f>SUMIFS($B$107:$B$114,$J$107:$J$114,"G")</f>
        <v>0</v>
      </c>
      <c r="AC58" s="170"/>
      <c r="AF58" s="200" t="str">
        <f t="shared" si="26"/>
        <v/>
      </c>
      <c r="AG58" s="320" t="str">
        <f t="shared" si="2"/>
        <v/>
      </c>
      <c r="AH58" s="33" t="str">
        <f t="shared" si="3"/>
        <v/>
      </c>
      <c r="AI58" s="99" t="str">
        <f t="shared" si="27"/>
        <v/>
      </c>
      <c r="AJ58" s="218"/>
      <c r="AK58" s="217"/>
      <c r="AL58" s="219"/>
      <c r="AM58" s="48"/>
      <c r="AN58" s="5"/>
      <c r="AO58" s="3"/>
      <c r="AP58" s="5"/>
      <c r="BE58" s="5"/>
      <c r="BF58" s="5"/>
    </row>
    <row r="59" spans="2:58" ht="15" customHeight="1">
      <c r="B59" s="337">
        <v>523.72</v>
      </c>
      <c r="C59" s="191">
        <v>46307</v>
      </c>
      <c r="D59" s="74" t="s">
        <v>317</v>
      </c>
      <c r="E59" s="58">
        <f t="shared" si="39"/>
        <v>523.72</v>
      </c>
      <c r="F59" s="351" t="s">
        <v>135</v>
      </c>
      <c r="G59" s="343">
        <f t="shared" si="40"/>
        <v>46830.720000000001</v>
      </c>
      <c r="H59" s="344">
        <f t="shared" si="41"/>
        <v>46830.720000000001</v>
      </c>
      <c r="I59" s="343" t="str">
        <f t="shared" ref="I59:I77" si="43">IF(H59="","","SUPER")</f>
        <v>SUPER</v>
      </c>
      <c r="J59" s="387" t="s">
        <v>94</v>
      </c>
      <c r="K59" s="351" t="s">
        <v>90</v>
      </c>
      <c r="L59" s="384" t="str">
        <f t="shared" si="42"/>
        <v>P</v>
      </c>
      <c r="M59" s="465">
        <f>IF(K59="AV",MAX($M$12:M58)+1,0)</f>
        <v>0</v>
      </c>
      <c r="N59" s="458">
        <f>IF(K59="IT",MAX($N$12:N58)+1,0)</f>
        <v>6</v>
      </c>
      <c r="O59" s="458">
        <f>IF(K59="IT2",MAX($O$12:O58)+1,0)</f>
        <v>0</v>
      </c>
      <c r="P59" s="458">
        <f>IF(K59="ITP",MAX($P$12:P58)+1,0)</f>
        <v>0</v>
      </c>
      <c r="Q59" s="458">
        <f>IF(K59="C6",MAX($Q$12:Q58)+1,0)</f>
        <v>0</v>
      </c>
      <c r="R59" s="365"/>
      <c r="S59" s="348" t="str">
        <f t="shared" si="38"/>
        <v/>
      </c>
      <c r="T59" s="308"/>
      <c r="U59" s="308"/>
      <c r="V59" s="429" t="s">
        <v>37</v>
      </c>
      <c r="W59" s="94">
        <f t="shared" si="35"/>
        <v>0</v>
      </c>
      <c r="X59" s="492"/>
      <c r="Y59" s="335"/>
      <c r="Z59" s="335">
        <f>SUMIFS($B$99:$B$103,$J$99:$J$103,"F")</f>
        <v>0</v>
      </c>
      <c r="AA59" s="335">
        <f>SUMIFS($B$99:$B$103,$J$99:$J$103,"J")</f>
        <v>0</v>
      </c>
      <c r="AB59" s="335">
        <f>SUMIFS($B$99:$B$103,$J$99:$J$103,"G")</f>
        <v>0</v>
      </c>
      <c r="AC59" s="170"/>
      <c r="AF59" s="200" t="str">
        <f t="shared" si="26"/>
        <v/>
      </c>
      <c r="AG59" s="320" t="str">
        <f t="shared" si="2"/>
        <v/>
      </c>
      <c r="AH59" s="33" t="str">
        <f t="shared" si="3"/>
        <v/>
      </c>
      <c r="AI59" s="99" t="str">
        <f t="shared" si="27"/>
        <v/>
      </c>
      <c r="AJ59" s="218"/>
      <c r="AK59" s="217"/>
      <c r="AL59" s="219"/>
      <c r="AM59" s="48"/>
      <c r="AN59" s="5"/>
      <c r="AO59" s="3"/>
      <c r="AP59" s="5"/>
      <c r="BE59" s="5"/>
      <c r="BF59" s="5"/>
    </row>
    <row r="60" spans="2:58" ht="15" customHeight="1">
      <c r="B60" s="337">
        <v>49.9</v>
      </c>
      <c r="C60" s="191">
        <v>46307</v>
      </c>
      <c r="D60" s="74" t="s">
        <v>389</v>
      </c>
      <c r="E60" s="58">
        <f t="shared" si="39"/>
        <v>49.9</v>
      </c>
      <c r="F60" s="351" t="s">
        <v>135</v>
      </c>
      <c r="G60" s="343">
        <f t="shared" si="40"/>
        <v>46356.9</v>
      </c>
      <c r="H60" s="344">
        <f t="shared" si="41"/>
        <v>46356.9</v>
      </c>
      <c r="I60" s="343" t="str">
        <f t="shared" si="43"/>
        <v>SUPER</v>
      </c>
      <c r="J60" s="387" t="s">
        <v>94</v>
      </c>
      <c r="K60" s="351" t="s">
        <v>90</v>
      </c>
      <c r="L60" s="384" t="str">
        <f t="shared" si="42"/>
        <v>P</v>
      </c>
      <c r="M60" s="465">
        <f>IF(K60="AV",MAX($M$12:M59)+1,0)</f>
        <v>0</v>
      </c>
      <c r="N60" s="458">
        <f>IF(K60="IT",MAX($N$12:N59)+1,0)</f>
        <v>7</v>
      </c>
      <c r="O60" s="458">
        <f>IF(K60="IT2",MAX($O$12:O59)+1,0)</f>
        <v>0</v>
      </c>
      <c r="P60" s="458">
        <f>IF(K60="ITP",MAX($P$12:P59)+1,0)</f>
        <v>0</v>
      </c>
      <c r="Q60" s="458">
        <f>IF(K60="C6",MAX($Q$12:Q59)+1,0)</f>
        <v>0</v>
      </c>
      <c r="R60" s="365"/>
      <c r="S60" s="348" t="str">
        <f t="shared" si="38"/>
        <v/>
      </c>
      <c r="T60" s="308"/>
      <c r="U60" s="308"/>
      <c r="V60" s="429" t="s">
        <v>21</v>
      </c>
      <c r="W60" s="94">
        <f t="shared" si="35"/>
        <v>724.83</v>
      </c>
      <c r="X60" s="492"/>
      <c r="Y60" s="335"/>
      <c r="Z60" s="335">
        <f>SUMIFS($B$130:$B$138,$J$130:$J$138,"F")</f>
        <v>0</v>
      </c>
      <c r="AA60" s="335">
        <f>SUMIFS($B$130:$B$138,$J$130:$J$138,"J")</f>
        <v>0</v>
      </c>
      <c r="AB60" s="335">
        <f>SUMIFS($B$130:$B$138,$J$130:$J$138,"G")</f>
        <v>724.83</v>
      </c>
      <c r="AC60" s="170"/>
      <c r="AF60" s="200" t="str">
        <f t="shared" si="26"/>
        <v/>
      </c>
      <c r="AG60" s="320" t="str">
        <f t="shared" si="2"/>
        <v/>
      </c>
      <c r="AH60" s="33" t="str">
        <f t="shared" si="3"/>
        <v/>
      </c>
      <c r="AI60" s="99" t="str">
        <f t="shared" si="27"/>
        <v/>
      </c>
      <c r="AJ60" s="218"/>
      <c r="AK60" s="217"/>
      <c r="AL60" s="219"/>
      <c r="AM60" s="48"/>
      <c r="AN60" s="5"/>
      <c r="AO60" s="3"/>
      <c r="AP60" s="5"/>
      <c r="BE60" s="5"/>
      <c r="BF60" s="5"/>
    </row>
    <row r="61" spans="2:58" ht="15" customHeight="1">
      <c r="B61" s="337">
        <v>46.99</v>
      </c>
      <c r="C61" s="191">
        <v>46307</v>
      </c>
      <c r="D61" s="74" t="s">
        <v>390</v>
      </c>
      <c r="E61" s="58">
        <f t="shared" si="39"/>
        <v>46.99</v>
      </c>
      <c r="F61" s="351" t="s">
        <v>135</v>
      </c>
      <c r="G61" s="343">
        <f t="shared" si="40"/>
        <v>46353.99</v>
      </c>
      <c r="H61" s="344">
        <f t="shared" si="41"/>
        <v>46353.99</v>
      </c>
      <c r="I61" s="343" t="str">
        <f t="shared" si="43"/>
        <v>SUPER</v>
      </c>
      <c r="J61" s="387" t="s">
        <v>94</v>
      </c>
      <c r="K61" s="351" t="s">
        <v>90</v>
      </c>
      <c r="L61" s="384" t="str">
        <f t="shared" si="42"/>
        <v>P</v>
      </c>
      <c r="M61" s="465">
        <f>IF(K61="AV",MAX($M$12:M60)+1,0)</f>
        <v>0</v>
      </c>
      <c r="N61" s="458">
        <f>IF(K61="IT",MAX($N$12:N60)+1,0)</f>
        <v>8</v>
      </c>
      <c r="O61" s="458">
        <f>IF(K61="IT2",MAX($O$12:O60)+1,0)</f>
        <v>0</v>
      </c>
      <c r="P61" s="458">
        <f>IF(K61="ITP",MAX($P$12:P60)+1,0)</f>
        <v>0</v>
      </c>
      <c r="Q61" s="458">
        <f>IF(K61="C6",MAX($Q$12:Q60)+1,0)</f>
        <v>0</v>
      </c>
      <c r="R61" s="365"/>
      <c r="S61" s="348" t="str">
        <f t="shared" si="38"/>
        <v/>
      </c>
      <c r="T61" s="308"/>
      <c r="U61" s="308"/>
      <c r="V61" s="429" t="s">
        <v>13</v>
      </c>
      <c r="W61" s="94">
        <f t="shared" si="35"/>
        <v>50</v>
      </c>
      <c r="X61" s="492"/>
      <c r="Y61" s="335"/>
      <c r="Z61" s="335">
        <f>SUMIFS($B$118:$B$126,$J$118:$J$126,"F")</f>
        <v>0</v>
      </c>
      <c r="AA61" s="335">
        <f>SUMIFS($B$118:$B$126,$J$118:$J$126,"J")</f>
        <v>0</v>
      </c>
      <c r="AB61" s="335">
        <f>SUMIFS($B$118:$B$126,$J$118:$J$126,"G")</f>
        <v>50</v>
      </c>
      <c r="AC61" s="170"/>
      <c r="AF61" s="200" t="str">
        <f t="shared" si="26"/>
        <v/>
      </c>
      <c r="AG61" s="320" t="str">
        <f t="shared" si="2"/>
        <v/>
      </c>
      <c r="AH61" s="33" t="str">
        <f t="shared" si="3"/>
        <v/>
      </c>
      <c r="AI61" s="99" t="str">
        <f t="shared" si="27"/>
        <v/>
      </c>
      <c r="AJ61" s="218"/>
      <c r="AK61" s="217"/>
      <c r="AL61" s="219"/>
      <c r="AM61" s="48"/>
      <c r="AN61" s="5"/>
      <c r="AO61" s="3"/>
      <c r="AP61" s="5"/>
      <c r="BE61" s="5"/>
      <c r="BF61" s="5"/>
    </row>
    <row r="62" spans="2:58" ht="15" customHeight="1">
      <c r="B62" s="337">
        <v>26.99</v>
      </c>
      <c r="C62" s="191">
        <v>46307</v>
      </c>
      <c r="D62" s="74" t="s">
        <v>391</v>
      </c>
      <c r="E62" s="58">
        <f t="shared" si="39"/>
        <v>26.99</v>
      </c>
      <c r="F62" s="351" t="s">
        <v>135</v>
      </c>
      <c r="G62" s="343">
        <f t="shared" si="40"/>
        <v>46333.99</v>
      </c>
      <c r="H62" s="344">
        <f t="shared" si="41"/>
        <v>46333.99</v>
      </c>
      <c r="I62" s="343" t="str">
        <f t="shared" si="43"/>
        <v>SUPER</v>
      </c>
      <c r="J62" s="387" t="s">
        <v>94</v>
      </c>
      <c r="K62" s="351" t="s">
        <v>90</v>
      </c>
      <c r="L62" s="384" t="str">
        <f t="shared" si="42"/>
        <v>P</v>
      </c>
      <c r="M62" s="465">
        <f>IF(K62="AV",MAX($M$12:M61)+1,0)</f>
        <v>0</v>
      </c>
      <c r="N62" s="458">
        <f>IF(K62="IT",MAX($N$12:N61)+1,0)</f>
        <v>9</v>
      </c>
      <c r="O62" s="458">
        <f>IF(K62="IT2",MAX($O$12:O61)+1,0)</f>
        <v>0</v>
      </c>
      <c r="P62" s="458">
        <f>IF(K62="ITP",MAX($P$12:P61)+1,0)</f>
        <v>0</v>
      </c>
      <c r="Q62" s="458">
        <f>IF(K62="C6",MAX($Q$12:Q61)+1,0)</f>
        <v>0</v>
      </c>
      <c r="R62" s="365"/>
      <c r="S62" s="348" t="str">
        <f t="shared" si="38"/>
        <v/>
      </c>
      <c r="T62" s="308"/>
      <c r="U62" s="308"/>
      <c r="V62" s="429" t="s">
        <v>111</v>
      </c>
      <c r="W62" s="94">
        <f t="shared" si="35"/>
        <v>0</v>
      </c>
      <c r="X62" s="492"/>
      <c r="Y62" s="335"/>
      <c r="Z62" s="335">
        <f>SUMIFS($B$177:$B$187,$J$177:$J$187,"F")</f>
        <v>0</v>
      </c>
      <c r="AA62" s="335">
        <f>SUMIFS($B$177:$B$187,$J$177:$J$187,"J")</f>
        <v>0</v>
      </c>
      <c r="AB62" s="335">
        <f>SUMIFS($B$177:$B$187,$J$177:$J$187,"G")</f>
        <v>0</v>
      </c>
      <c r="AC62" s="170"/>
      <c r="AF62" s="200" t="str">
        <f t="shared" si="26"/>
        <v/>
      </c>
      <c r="AG62" s="320" t="str">
        <f t="shared" si="2"/>
        <v/>
      </c>
      <c r="AH62" s="33" t="str">
        <f t="shared" si="3"/>
        <v/>
      </c>
      <c r="AI62" s="99" t="str">
        <f t="shared" si="27"/>
        <v/>
      </c>
      <c r="AJ62" s="218"/>
      <c r="AK62" s="217"/>
      <c r="AL62" s="219"/>
      <c r="AM62" s="48"/>
      <c r="AN62" s="5"/>
      <c r="AO62" s="3"/>
      <c r="AP62" s="5"/>
      <c r="BE62" s="5"/>
      <c r="BF62" s="5"/>
    </row>
    <row r="63" spans="2:58" ht="15" customHeight="1">
      <c r="B63" s="337">
        <v>57.89</v>
      </c>
      <c r="C63" s="191">
        <v>46307</v>
      </c>
      <c r="D63" s="74" t="s">
        <v>69</v>
      </c>
      <c r="E63" s="58">
        <f t="shared" si="39"/>
        <v>57.89</v>
      </c>
      <c r="F63" s="351" t="s">
        <v>135</v>
      </c>
      <c r="G63" s="343">
        <f t="shared" si="40"/>
        <v>46364.89</v>
      </c>
      <c r="H63" s="344">
        <f t="shared" si="41"/>
        <v>46364.89</v>
      </c>
      <c r="I63" s="343" t="str">
        <f t="shared" si="43"/>
        <v>SUPER</v>
      </c>
      <c r="J63" s="387" t="s">
        <v>94</v>
      </c>
      <c r="K63" s="351" t="s">
        <v>90</v>
      </c>
      <c r="L63" s="384" t="str">
        <f t="shared" ref="L63:L77" si="44">IF(K63="AV","8",IF(AND(G63="",H63=""),"",IF(G63=H63,"P",IF(G63&lt;&gt;H63,"O"))))</f>
        <v>P</v>
      </c>
      <c r="M63" s="465">
        <f>IF(K63="AV",MAX($M$12:M62)+1,0)</f>
        <v>0</v>
      </c>
      <c r="N63" s="458">
        <f>IF(K63="IT",MAX($N$12:N62)+1,0)</f>
        <v>10</v>
      </c>
      <c r="O63" s="458">
        <f>IF(K63="IT2",MAX($O$12:O62)+1,0)</f>
        <v>0</v>
      </c>
      <c r="P63" s="458">
        <f>IF(K63="ITP",MAX($P$12:P62)+1,0)</f>
        <v>0</v>
      </c>
      <c r="Q63" s="458">
        <f>IF(K63="C6",MAX($Q$12:Q62)+1,0)</f>
        <v>0</v>
      </c>
      <c r="R63" s="365"/>
      <c r="S63" s="348" t="str">
        <f t="shared" si="38"/>
        <v/>
      </c>
      <c r="T63" s="308"/>
      <c r="U63" s="308"/>
      <c r="V63" s="429" t="s">
        <v>10</v>
      </c>
      <c r="W63" s="94">
        <f t="shared" si="35"/>
        <v>1637.9599999999998</v>
      </c>
      <c r="X63" s="492"/>
      <c r="Y63" s="335"/>
      <c r="Z63" s="335">
        <f>SUMIFS($B$191:$B$203,$J$191:$J$203,"F")</f>
        <v>0</v>
      </c>
      <c r="AA63" s="335">
        <f>SUMIFS($B$191:$B$203,$J$191:$J$203,"J")</f>
        <v>1637.9599999999998</v>
      </c>
      <c r="AB63" s="335">
        <f>SUMIFS($B$191:$B$203,$J$191:$J$203,"G")</f>
        <v>0</v>
      </c>
      <c r="AC63" s="169"/>
      <c r="AF63" s="200" t="str">
        <f t="shared" si="26"/>
        <v/>
      </c>
      <c r="AG63" s="320" t="str">
        <f t="shared" si="2"/>
        <v/>
      </c>
      <c r="AH63" s="33" t="str">
        <f t="shared" si="3"/>
        <v/>
      </c>
      <c r="AI63" s="99" t="str">
        <f t="shared" si="27"/>
        <v/>
      </c>
      <c r="AJ63" s="218"/>
      <c r="AK63" s="217"/>
      <c r="AL63" s="219"/>
      <c r="AM63" s="48"/>
      <c r="AN63" s="5"/>
      <c r="AO63" s="3"/>
      <c r="AP63" s="5"/>
      <c r="BE63" s="5"/>
      <c r="BF63" s="5"/>
    </row>
    <row r="64" spans="2:58" ht="15" customHeight="1">
      <c r="B64" s="337">
        <v>26</v>
      </c>
      <c r="C64" s="191">
        <v>46319</v>
      </c>
      <c r="D64" s="74" t="s">
        <v>466</v>
      </c>
      <c r="E64" s="58">
        <f t="shared" si="39"/>
        <v>26</v>
      </c>
      <c r="F64" s="351" t="s">
        <v>135</v>
      </c>
      <c r="G64" s="343">
        <f t="shared" si="40"/>
        <v>46345</v>
      </c>
      <c r="H64" s="344"/>
      <c r="I64" s="343" t="str">
        <f t="shared" si="43"/>
        <v/>
      </c>
      <c r="J64" s="387" t="s">
        <v>94</v>
      </c>
      <c r="K64" s="351" t="s">
        <v>90</v>
      </c>
      <c r="L64" s="384" t="str">
        <f t="shared" si="44"/>
        <v>O</v>
      </c>
      <c r="M64" s="465">
        <f>IF(K64="AV",MAX($M$12:M63)+1,0)</f>
        <v>0</v>
      </c>
      <c r="N64" s="458">
        <f>IF(K64="IT",MAX($N$12:N63)+1,0)</f>
        <v>11</v>
      </c>
      <c r="O64" s="458">
        <f>IF(K64="IT2",MAX($O$12:O63)+1,0)</f>
        <v>0</v>
      </c>
      <c r="P64" s="458">
        <f>IF(K64="ITP",MAX($P$12:P63)+1,0)</f>
        <v>0</v>
      </c>
      <c r="Q64" s="458">
        <f>IF(K64="C6",MAX($Q$12:Q63)+1,0)</f>
        <v>0</v>
      </c>
      <c r="R64" s="365"/>
      <c r="S64" s="348" t="str">
        <f t="shared" si="38"/>
        <v/>
      </c>
      <c r="T64" s="308"/>
      <c r="U64" s="308"/>
      <c r="V64" s="429" t="s">
        <v>5</v>
      </c>
      <c r="W64" s="94">
        <f t="shared" si="35"/>
        <v>682.79</v>
      </c>
      <c r="X64" s="492">
        <f>IF(W64&gt;550,W64-550,"R$ 0,00")</f>
        <v>132.78999999999996</v>
      </c>
      <c r="Y64" s="335" t="str">
        <f>IF(550-Z64&lt;0,"R$ 0,00",550-Z64)</f>
        <v>R$ 0,00</v>
      </c>
      <c r="Z64" s="335">
        <f>SUMIFS($B$207:$B$215,$J$207:$J$215,"F")</f>
        <v>682.79</v>
      </c>
      <c r="AA64" s="335">
        <f>SUMIFS($B$207:$B$215,$J$207:$J$215,"J")</f>
        <v>0</v>
      </c>
      <c r="AB64" s="335">
        <f>SUMIFS($B$207:$B$215,$J$207:$J$215,"G")</f>
        <v>0</v>
      </c>
      <c r="AC64" s="169"/>
      <c r="AF64" s="200" t="str">
        <f t="shared" si="26"/>
        <v/>
      </c>
      <c r="AG64" s="320" t="str">
        <f t="shared" si="2"/>
        <v/>
      </c>
      <c r="AH64" s="33" t="str">
        <f t="shared" si="3"/>
        <v/>
      </c>
      <c r="AI64" s="99" t="str">
        <f t="shared" si="27"/>
        <v/>
      </c>
      <c r="AJ64" s="218"/>
      <c r="AK64" s="217"/>
      <c r="AL64" s="219"/>
      <c r="AM64" s="48"/>
      <c r="AN64" s="5"/>
      <c r="AO64" s="3"/>
      <c r="AP64" s="5"/>
      <c r="BF64" s="18"/>
    </row>
    <row r="65" spans="2:58" ht="15" customHeight="1">
      <c r="B65" s="337">
        <v>60.6</v>
      </c>
      <c r="C65" s="191">
        <v>46319</v>
      </c>
      <c r="D65" s="74" t="s">
        <v>466</v>
      </c>
      <c r="E65" s="58">
        <f t="shared" si="39"/>
        <v>60.6</v>
      </c>
      <c r="F65" s="351" t="s">
        <v>135</v>
      </c>
      <c r="G65" s="343">
        <f t="shared" ref="G65:G72" si="45">IF(B65="","",B65+C65)</f>
        <v>46379.6</v>
      </c>
      <c r="H65" s="344" t="str">
        <f t="shared" ref="H65:H77" si="46">IFERROR(VLOOKUP(G65,$AG$5:$AG$174,1,0),"")</f>
        <v/>
      </c>
      <c r="I65" s="343" t="str">
        <f t="shared" si="43"/>
        <v/>
      </c>
      <c r="J65" s="387" t="s">
        <v>94</v>
      </c>
      <c r="K65" s="351" t="s">
        <v>90</v>
      </c>
      <c r="L65" s="384" t="str">
        <f t="shared" si="44"/>
        <v>O</v>
      </c>
      <c r="M65" s="465">
        <f>IF(K65="AV",MAX($M$12:M64)+1,0)</f>
        <v>0</v>
      </c>
      <c r="N65" s="458">
        <f>IF(K65="IT",MAX($N$12:N64)+1,0)</f>
        <v>12</v>
      </c>
      <c r="O65" s="458">
        <f>IF(K65="IT2",MAX($O$12:O64)+1,0)</f>
        <v>0</v>
      </c>
      <c r="P65" s="458">
        <f>IF(K65="ITP",MAX($P$12:P64)+1,0)</f>
        <v>0</v>
      </c>
      <c r="Q65" s="458">
        <f>IF(K65="C6",MAX($Q$12:Q64)+1,0)</f>
        <v>0</v>
      </c>
      <c r="R65" s="365"/>
      <c r="S65" s="348" t="str">
        <f t="shared" si="38"/>
        <v/>
      </c>
      <c r="T65" s="308"/>
      <c r="U65" s="308"/>
      <c r="V65" s="441" t="s">
        <v>7</v>
      </c>
      <c r="W65" s="98">
        <f t="shared" si="35"/>
        <v>2035.3000000000002</v>
      </c>
      <c r="X65" s="493"/>
      <c r="Y65" s="335"/>
      <c r="Z65" s="335">
        <f>SUMIFS($B$219:$B$239,$J$219:$J$239,"F")</f>
        <v>89.9</v>
      </c>
      <c r="AA65" s="335">
        <f>SUMIFS($B$219:$B$239,$J$219:$J$239,"J")</f>
        <v>84.35</v>
      </c>
      <c r="AB65" s="335">
        <f>SUMIFS($B$219:$B$239,$J$219:$J$239,"G")</f>
        <v>1861.0500000000002</v>
      </c>
      <c r="AC65" s="170"/>
      <c r="AF65" s="200" t="str">
        <f t="shared" si="26"/>
        <v/>
      </c>
      <c r="AG65" s="320" t="str">
        <f t="shared" si="2"/>
        <v/>
      </c>
      <c r="AH65" s="33" t="str">
        <f t="shared" si="3"/>
        <v/>
      </c>
      <c r="AI65" s="99" t="str">
        <f t="shared" si="27"/>
        <v/>
      </c>
      <c r="AJ65" s="218"/>
      <c r="AK65" s="217"/>
      <c r="AL65" s="219"/>
      <c r="AM65" s="48"/>
      <c r="AN65" s="5"/>
      <c r="AO65" s="3"/>
      <c r="AP65" s="5"/>
      <c r="BF65" s="18"/>
    </row>
    <row r="66" spans="2:58" ht="15" customHeight="1">
      <c r="B66" s="337"/>
      <c r="C66" s="191"/>
      <c r="D66" s="74"/>
      <c r="E66" s="58" t="str">
        <f t="shared" si="39"/>
        <v/>
      </c>
      <c r="F66" s="351"/>
      <c r="G66" s="343" t="str">
        <f t="shared" si="45"/>
        <v/>
      </c>
      <c r="H66" s="344" t="str">
        <f t="shared" si="46"/>
        <v/>
      </c>
      <c r="I66" s="343" t="str">
        <f t="shared" si="43"/>
        <v/>
      </c>
      <c r="J66" s="387"/>
      <c r="K66" s="351"/>
      <c r="L66" s="384" t="str">
        <f t="shared" si="44"/>
        <v/>
      </c>
      <c r="M66" s="465">
        <f>IF(K66="AV",MAX($M$12:M65)+1,0)</f>
        <v>0</v>
      </c>
      <c r="N66" s="458">
        <f>IF(K66="IT",MAX($N$12:N65)+1,0)</f>
        <v>0</v>
      </c>
      <c r="O66" s="458">
        <f>IF(K66="IT2",MAX($O$12:O65)+1,0)</f>
        <v>0</v>
      </c>
      <c r="P66" s="458">
        <f>IF(K66="ITP",MAX($P$12:P65)+1,0)</f>
        <v>0</v>
      </c>
      <c r="Q66" s="458">
        <f>IF(K66="C6",MAX($Q$12:Q65)+1,0)</f>
        <v>0</v>
      </c>
      <c r="R66" s="365"/>
      <c r="S66" s="348" t="str">
        <f t="shared" si="38"/>
        <v/>
      </c>
      <c r="T66" s="308"/>
      <c r="U66" s="308"/>
      <c r="V66" s="528">
        <f>SUM(W50:W65)</f>
        <v>15163.539999999997</v>
      </c>
      <c r="W66" s="529"/>
      <c r="X66" s="532">
        <f>SUM(X50:X65)</f>
        <v>132.78999999999996</v>
      </c>
      <c r="Y66" s="526">
        <f>SUM(Y50:Y65)</f>
        <v>1380.9099999999999</v>
      </c>
      <c r="Z66" s="526">
        <f>SUM(Z50:Z65)</f>
        <v>1105.53</v>
      </c>
      <c r="AA66" s="526">
        <f>SUM(AA50:AA65)</f>
        <v>1789.6499999999996</v>
      </c>
      <c r="AB66" s="526">
        <f>SUM(AB50:AB65)</f>
        <v>10887.45</v>
      </c>
      <c r="AC66" s="173"/>
      <c r="AD66" s="497"/>
      <c r="AE66" s="308"/>
      <c r="AF66" s="200" t="str">
        <f t="shared" si="26"/>
        <v/>
      </c>
      <c r="AG66" s="320" t="str">
        <f t="shared" si="2"/>
        <v/>
      </c>
      <c r="AH66" s="33" t="str">
        <f t="shared" si="3"/>
        <v/>
      </c>
      <c r="AI66" s="99" t="str">
        <f t="shared" si="27"/>
        <v/>
      </c>
      <c r="AJ66" s="218"/>
      <c r="AK66" s="217"/>
      <c r="AL66" s="219"/>
      <c r="AM66" s="48"/>
      <c r="AN66" s="5"/>
      <c r="AO66" s="3"/>
      <c r="AP66" s="5"/>
      <c r="BF66" s="18"/>
    </row>
    <row r="67" spans="2:58" ht="15" customHeight="1">
      <c r="B67" s="337"/>
      <c r="C67" s="191"/>
      <c r="D67" s="74"/>
      <c r="E67" s="58" t="str">
        <f t="shared" ref="E67:E72" si="47">IF(OR(B67="",F67="Pago"),"",B67)</f>
        <v/>
      </c>
      <c r="F67" s="351"/>
      <c r="G67" s="343" t="str">
        <f t="shared" si="45"/>
        <v/>
      </c>
      <c r="H67" s="344" t="str">
        <f t="shared" si="46"/>
        <v/>
      </c>
      <c r="I67" s="343" t="str">
        <f t="shared" si="43"/>
        <v/>
      </c>
      <c r="J67" s="387"/>
      <c r="K67" s="351"/>
      <c r="L67" s="384" t="str">
        <f t="shared" si="44"/>
        <v/>
      </c>
      <c r="M67" s="465">
        <f>IF(K67="AV",MAX($M$12:M66)+1,0)</f>
        <v>0</v>
      </c>
      <c r="N67" s="458">
        <f>IF(K67="IT",MAX($N$12:N66)+1,0)</f>
        <v>0</v>
      </c>
      <c r="O67" s="458">
        <f>IF(K67="IT2",MAX($O$12:O66)+1,0)</f>
        <v>0</v>
      </c>
      <c r="P67" s="458">
        <f>IF(K67="ITP",MAX($P$12:P66)+1,0)</f>
        <v>0</v>
      </c>
      <c r="Q67" s="458">
        <f>IF(K67="C6",MAX($Q$12:Q66)+1,0)</f>
        <v>0</v>
      </c>
      <c r="R67" s="365"/>
      <c r="S67" s="348" t="str">
        <f t="shared" si="38"/>
        <v/>
      </c>
      <c r="T67" s="308"/>
      <c r="U67" s="308"/>
      <c r="V67" s="530"/>
      <c r="W67" s="531"/>
      <c r="X67" s="533"/>
      <c r="Y67" s="544"/>
      <c r="Z67" s="544"/>
      <c r="AA67" s="544"/>
      <c r="AB67" s="544"/>
      <c r="AC67" s="173"/>
      <c r="AD67" s="497"/>
      <c r="AE67" s="308"/>
      <c r="AF67" s="200" t="str">
        <f t="shared" si="26"/>
        <v/>
      </c>
      <c r="AG67" s="320" t="str">
        <f t="shared" si="2"/>
        <v/>
      </c>
      <c r="AH67" s="33" t="str">
        <f t="shared" si="3"/>
        <v/>
      </c>
      <c r="AI67" s="99" t="str">
        <f t="shared" si="27"/>
        <v/>
      </c>
      <c r="AJ67" s="218"/>
      <c r="AK67" s="217"/>
      <c r="AL67" s="219"/>
      <c r="AM67" s="48"/>
      <c r="AN67" s="5"/>
      <c r="AO67" s="3"/>
      <c r="AP67" s="5"/>
      <c r="BF67" s="18"/>
    </row>
    <row r="68" spans="2:58" ht="15" customHeight="1">
      <c r="B68" s="337"/>
      <c r="C68" s="191"/>
      <c r="D68" s="74"/>
      <c r="E68" s="58" t="str">
        <f t="shared" si="47"/>
        <v/>
      </c>
      <c r="F68" s="351"/>
      <c r="G68" s="343" t="str">
        <f t="shared" si="45"/>
        <v/>
      </c>
      <c r="H68" s="344" t="str">
        <f t="shared" si="46"/>
        <v/>
      </c>
      <c r="I68" s="343" t="str">
        <f t="shared" si="43"/>
        <v/>
      </c>
      <c r="J68" s="387"/>
      <c r="K68" s="351"/>
      <c r="L68" s="384" t="str">
        <f t="shared" si="44"/>
        <v/>
      </c>
      <c r="M68" s="465">
        <f>IF(K68="AV",MAX($M$12:M67)+1,0)</f>
        <v>0</v>
      </c>
      <c r="N68" s="458">
        <f>IF(K68="IT",MAX($N$12:N67)+1,0)</f>
        <v>0</v>
      </c>
      <c r="O68" s="458">
        <f>IF(K68="IT2",MAX($O$12:O67)+1,0)</f>
        <v>0</v>
      </c>
      <c r="P68" s="458">
        <f>IF(K68="ITP",MAX($P$12:P67)+1,0)</f>
        <v>0</v>
      </c>
      <c r="Q68" s="458">
        <f>IF(K68="C6",MAX($Q$12:Q67)+1,0)</f>
        <v>0</v>
      </c>
      <c r="R68" s="365"/>
      <c r="S68" s="348" t="str">
        <f t="shared" si="38"/>
        <v/>
      </c>
      <c r="T68" s="308"/>
      <c r="U68" s="308"/>
      <c r="V68" s="308"/>
      <c r="W68" s="308"/>
      <c r="X68" s="308"/>
      <c r="Y68" s="24"/>
      <c r="Z68" s="308"/>
      <c r="AA68" s="308"/>
      <c r="AB68" s="308"/>
      <c r="AC68" s="308"/>
      <c r="AD68" s="497"/>
      <c r="AE68" s="308"/>
      <c r="AF68" s="200">
        <f t="shared" si="26"/>
        <v>46371.6</v>
      </c>
      <c r="AG68" s="320">
        <f t="shared" si="2"/>
        <v>46371.6</v>
      </c>
      <c r="AH68" s="33" t="str">
        <f t="shared" si="3"/>
        <v>P</v>
      </c>
      <c r="AI68" s="99" t="str">
        <f t="shared" si="27"/>
        <v>REF/LANCHE</v>
      </c>
      <c r="AJ68" s="504">
        <v>46318</v>
      </c>
      <c r="AK68" s="502" t="s">
        <v>168</v>
      </c>
      <c r="AL68" s="505">
        <v>53.6</v>
      </c>
      <c r="AM68" s="48"/>
      <c r="AN68" s="5"/>
      <c r="AO68" s="3"/>
      <c r="AP68" s="5"/>
      <c r="BF68" s="18"/>
    </row>
    <row r="69" spans="2:58" ht="15" customHeight="1">
      <c r="B69" s="337"/>
      <c r="C69" s="191"/>
      <c r="D69" s="74"/>
      <c r="E69" s="58" t="str">
        <f t="shared" si="47"/>
        <v/>
      </c>
      <c r="F69" s="351"/>
      <c r="G69" s="343" t="str">
        <f t="shared" si="45"/>
        <v/>
      </c>
      <c r="H69" s="344" t="str">
        <f t="shared" si="46"/>
        <v/>
      </c>
      <c r="I69" s="343" t="str">
        <f t="shared" si="43"/>
        <v/>
      </c>
      <c r="J69" s="387"/>
      <c r="K69" s="351"/>
      <c r="L69" s="384" t="str">
        <f t="shared" si="44"/>
        <v/>
      </c>
      <c r="M69" s="465">
        <f>IF(K69="AV",MAX($M$12:M68)+1,0)</f>
        <v>0</v>
      </c>
      <c r="N69" s="458">
        <f>IF(K69="IT",MAX($N$12:N68)+1,0)</f>
        <v>0</v>
      </c>
      <c r="O69" s="458">
        <f>IF(K69="IT2",MAX($O$12:O68)+1,0)</f>
        <v>0</v>
      </c>
      <c r="P69" s="458">
        <f>IF(K69="ITP",MAX($P$12:P68)+1,0)</f>
        <v>0</v>
      </c>
      <c r="Q69" s="458">
        <f>IF(K69="C6",MAX($Q$12:Q68)+1,0)</f>
        <v>0</v>
      </c>
      <c r="R69" s="365"/>
      <c r="S69" s="348" t="str">
        <f t="shared" si="38"/>
        <v/>
      </c>
      <c r="T69" s="308"/>
      <c r="U69" s="308"/>
      <c r="V69" s="312"/>
      <c r="W69" s="312"/>
      <c r="X69" s="312"/>
      <c r="Y69" s="24"/>
      <c r="Z69" s="308"/>
      <c r="AA69" s="308"/>
      <c r="AB69" s="308"/>
      <c r="AC69" s="308"/>
      <c r="AD69" s="497"/>
      <c r="AE69" s="308"/>
      <c r="AF69" s="200">
        <f t="shared" ref="AF69:AF100" si="48">IFERROR(VLOOKUP(AG69,$G$12:$G$239,1,0),"")</f>
        <v>46377.9</v>
      </c>
      <c r="AG69" s="320">
        <f t="shared" si="2"/>
        <v>46377.9</v>
      </c>
      <c r="AH69" s="33" t="str">
        <f t="shared" si="3"/>
        <v>P</v>
      </c>
      <c r="AI69" s="99" t="str">
        <f t="shared" ref="AI69:AI107" si="49">IF(AG69="","",IFERROR(VLOOKUP(AG69,$H$12:$I$239,2,0),""))</f>
        <v>TV</v>
      </c>
      <c r="AJ69" s="504">
        <v>46318</v>
      </c>
      <c r="AK69" s="502" t="s">
        <v>325</v>
      </c>
      <c r="AL69" s="505">
        <v>59.9</v>
      </c>
      <c r="AM69" s="48"/>
      <c r="AN69" s="5"/>
      <c r="AO69" s="3"/>
      <c r="AP69" s="5"/>
      <c r="BF69" s="18"/>
    </row>
    <row r="70" spans="2:58" ht="15" customHeight="1">
      <c r="B70" s="337"/>
      <c r="C70" s="191"/>
      <c r="D70" s="74"/>
      <c r="E70" s="58" t="str">
        <f t="shared" si="47"/>
        <v/>
      </c>
      <c r="F70" s="351"/>
      <c r="G70" s="343" t="str">
        <f t="shared" si="45"/>
        <v/>
      </c>
      <c r="H70" s="344" t="str">
        <f t="shared" si="46"/>
        <v/>
      </c>
      <c r="I70" s="343" t="str">
        <f t="shared" si="43"/>
        <v/>
      </c>
      <c r="J70" s="387"/>
      <c r="K70" s="351"/>
      <c r="L70" s="384" t="str">
        <f t="shared" si="44"/>
        <v/>
      </c>
      <c r="M70" s="465">
        <f>IF(K70="AV",MAX($M$12:M69)+1,0)</f>
        <v>0</v>
      </c>
      <c r="N70" s="458">
        <f>IF(K70="IT",MAX($N$12:N69)+1,0)</f>
        <v>0</v>
      </c>
      <c r="O70" s="458">
        <f>IF(K70="IT2",MAX($O$12:O69)+1,0)</f>
        <v>0</v>
      </c>
      <c r="P70" s="458">
        <f>IF(K70="ITP",MAX($P$12:P69)+1,0)</f>
        <v>0</v>
      </c>
      <c r="Q70" s="458">
        <f>IF(K70="C6",MAX($Q$12:Q69)+1,0)</f>
        <v>0</v>
      </c>
      <c r="R70" s="365"/>
      <c r="S70" s="348" t="str">
        <f t="shared" si="38"/>
        <v/>
      </c>
      <c r="T70" s="308"/>
      <c r="U70" s="308"/>
      <c r="V70" s="528">
        <f>SUM(V75:AA76)</f>
        <v>15163.539999999997</v>
      </c>
      <c r="W70" s="529"/>
      <c r="X70" s="529"/>
      <c r="Y70" s="529"/>
      <c r="Z70" s="529"/>
      <c r="AA70" s="536"/>
      <c r="AF70" s="200">
        <f t="shared" si="48"/>
        <v>46391</v>
      </c>
      <c r="AG70" s="320">
        <f t="shared" ref="AG70:AG133" si="50">IF(AL70="","",AJ70+AL70)</f>
        <v>46391</v>
      </c>
      <c r="AH70" s="33" t="str">
        <f t="shared" ref="AH70:AH133" si="51">IF(AND(AF70="",AG70=""),"",IF(AF70=AG70,"P",IF(AF70&lt;&gt;AG70,"O")))</f>
        <v>P</v>
      </c>
      <c r="AI70" s="99" t="str">
        <f t="shared" si="49"/>
        <v>GUTO</v>
      </c>
      <c r="AJ70" s="504">
        <v>46317</v>
      </c>
      <c r="AK70" s="502" t="s">
        <v>468</v>
      </c>
      <c r="AL70" s="505">
        <v>74</v>
      </c>
      <c r="AM70" s="48"/>
      <c r="AN70" s="5"/>
      <c r="AO70" s="3"/>
      <c r="AP70" s="5"/>
      <c r="BF70" s="18"/>
    </row>
    <row r="71" spans="2:58" ht="15" customHeight="1">
      <c r="B71" s="337"/>
      <c r="C71" s="191"/>
      <c r="D71" s="74"/>
      <c r="E71" s="58" t="str">
        <f t="shared" si="47"/>
        <v/>
      </c>
      <c r="F71" s="351"/>
      <c r="G71" s="343" t="str">
        <f t="shared" si="45"/>
        <v/>
      </c>
      <c r="H71" s="344" t="str">
        <f t="shared" si="46"/>
        <v/>
      </c>
      <c r="I71" s="343" t="str">
        <f t="shared" si="43"/>
        <v/>
      </c>
      <c r="J71" s="387"/>
      <c r="K71" s="351"/>
      <c r="L71" s="384" t="str">
        <f t="shared" si="44"/>
        <v/>
      </c>
      <c r="M71" s="465">
        <f>IF(K71="AV",MAX($M$12:M70)+1,0)</f>
        <v>0</v>
      </c>
      <c r="N71" s="458">
        <f>IF(K71="IT",MAX($N$12:N70)+1,0)</f>
        <v>0</v>
      </c>
      <c r="O71" s="458">
        <f>IF(K71="IT2",MAX($O$12:O70)+1,0)</f>
        <v>0</v>
      </c>
      <c r="P71" s="458">
        <f>IF(K71="ITP",MAX($P$12:P70)+1,0)</f>
        <v>0</v>
      </c>
      <c r="Q71" s="458">
        <f>IF(K71="C6",MAX($Q$12:Q70)+1,0)</f>
        <v>0</v>
      </c>
      <c r="R71" s="365"/>
      <c r="S71" s="348" t="str">
        <f t="shared" si="38"/>
        <v/>
      </c>
      <c r="T71" s="308"/>
      <c r="U71" s="308"/>
      <c r="V71" s="537"/>
      <c r="W71" s="538"/>
      <c r="X71" s="538"/>
      <c r="Y71" s="538"/>
      <c r="Z71" s="538"/>
      <c r="AA71" s="539"/>
      <c r="AF71" s="200">
        <f t="shared" si="48"/>
        <v>46396</v>
      </c>
      <c r="AG71" s="320">
        <f t="shared" si="50"/>
        <v>46396</v>
      </c>
      <c r="AH71" s="33" t="str">
        <f t="shared" si="51"/>
        <v>P</v>
      </c>
      <c r="AI71" s="99" t="str">
        <f t="shared" si="49"/>
        <v>GUTO</v>
      </c>
      <c r="AJ71" s="504">
        <v>46316</v>
      </c>
      <c r="AK71" s="502" t="s">
        <v>463</v>
      </c>
      <c r="AL71" s="505">
        <v>80</v>
      </c>
      <c r="AM71" s="48"/>
      <c r="AP71" s="5"/>
      <c r="BE71" s="5"/>
      <c r="BF71" s="5"/>
    </row>
    <row r="72" spans="2:58" ht="15" customHeight="1">
      <c r="B72" s="337"/>
      <c r="C72" s="191"/>
      <c r="D72" s="74"/>
      <c r="E72" s="58" t="str">
        <f t="shared" si="47"/>
        <v/>
      </c>
      <c r="F72" s="351"/>
      <c r="G72" s="343" t="str">
        <f t="shared" si="45"/>
        <v/>
      </c>
      <c r="H72" s="344" t="str">
        <f t="shared" si="46"/>
        <v/>
      </c>
      <c r="I72" s="343" t="str">
        <f t="shared" si="43"/>
        <v/>
      </c>
      <c r="J72" s="387"/>
      <c r="K72" s="351"/>
      <c r="L72" s="384" t="str">
        <f t="shared" si="44"/>
        <v/>
      </c>
      <c r="M72" s="465">
        <f>IF(K72="AV",MAX($M$12:M71)+1,0)</f>
        <v>0</v>
      </c>
      <c r="N72" s="458">
        <f>IF(K72="IT",MAX($N$12:N71)+1,0)</f>
        <v>0</v>
      </c>
      <c r="O72" s="458">
        <f>IF(K72="IT2",MAX($O$12:O71)+1,0)</f>
        <v>0</v>
      </c>
      <c r="P72" s="458">
        <f>IF(K72="ITP",MAX($P$12:P71)+1,0)</f>
        <v>0</v>
      </c>
      <c r="Q72" s="458">
        <f>IF(K72="C6",MAX($Q$12:Q71)+1,0)</f>
        <v>0</v>
      </c>
      <c r="R72" s="365"/>
      <c r="S72" s="348" t="str">
        <f t="shared" si="38"/>
        <v/>
      </c>
      <c r="T72" s="308"/>
      <c r="V72" s="510" t="str">
        <f>IF(V75=Y42,"P","O")</f>
        <v>P</v>
      </c>
      <c r="W72" s="511" t="str">
        <f>IF(W75=Z42,"P","O")</f>
        <v>P</v>
      </c>
      <c r="X72" s="511" t="str">
        <f>IF(X75=AA42,"P","O")</f>
        <v>P</v>
      </c>
      <c r="Y72" s="511" t="str">
        <f>IF(Y75=AB42,"P","O")</f>
        <v>P</v>
      </c>
      <c r="Z72" s="511" t="str">
        <f>IF(Z75=AC42,"P","O")</f>
        <v>P</v>
      </c>
      <c r="AA72" s="512" t="str">
        <f>IF(AA75=X42,"P","O")</f>
        <v>P</v>
      </c>
      <c r="AF72" s="200">
        <f t="shared" si="48"/>
        <v>46377.71</v>
      </c>
      <c r="AG72" s="320">
        <f t="shared" si="50"/>
        <v>46377.71</v>
      </c>
      <c r="AH72" s="33" t="str">
        <f t="shared" si="51"/>
        <v>P</v>
      </c>
      <c r="AI72" s="99" t="str">
        <f t="shared" si="49"/>
        <v>FARMÁCIA</v>
      </c>
      <c r="AJ72" s="504">
        <v>46315</v>
      </c>
      <c r="AK72" s="502" t="s">
        <v>462</v>
      </c>
      <c r="AL72" s="505">
        <v>62.71</v>
      </c>
      <c r="AM72" s="48"/>
      <c r="AP72" s="5"/>
      <c r="BE72" s="5"/>
      <c r="BF72" s="5"/>
    </row>
    <row r="73" spans="2:58" ht="15" customHeight="1">
      <c r="B73" s="337"/>
      <c r="C73" s="191"/>
      <c r="D73" s="74"/>
      <c r="E73" s="58" t="str">
        <f t="shared" ref="E73:E77" si="52">IF(OR(B73="",F73="Pago"),"",B73)</f>
        <v/>
      </c>
      <c r="F73" s="351"/>
      <c r="G73" s="343" t="str">
        <f t="shared" ref="G73:G77" si="53">IF(B73="","",B73+C73)</f>
        <v/>
      </c>
      <c r="H73" s="344" t="str">
        <f t="shared" si="46"/>
        <v/>
      </c>
      <c r="I73" s="343" t="str">
        <f t="shared" si="43"/>
        <v/>
      </c>
      <c r="J73" s="387"/>
      <c r="K73" s="351"/>
      <c r="L73" s="384" t="str">
        <f t="shared" si="44"/>
        <v/>
      </c>
      <c r="M73" s="465">
        <f>IF(K73="AV",MAX($M$12:M72)+1,0)</f>
        <v>0</v>
      </c>
      <c r="N73" s="458">
        <f>IF(K73="IT",MAX($N$12:N72)+1,0)</f>
        <v>0</v>
      </c>
      <c r="O73" s="458">
        <f>IF(K73="IT2",MAX($O$12:O72)+1,0)</f>
        <v>0</v>
      </c>
      <c r="P73" s="458">
        <f>IF(K73="ITP",MAX($P$12:P72)+1,0)</f>
        <v>0</v>
      </c>
      <c r="Q73" s="458">
        <f>IF(K73="C6",MAX($Q$12:Q72)+1,0)</f>
        <v>0</v>
      </c>
      <c r="R73" s="365"/>
      <c r="S73" s="348" t="str">
        <f t="shared" si="38"/>
        <v/>
      </c>
      <c r="T73" s="308"/>
      <c r="V73" s="540" t="s">
        <v>118</v>
      </c>
      <c r="W73" s="540" t="s">
        <v>90</v>
      </c>
      <c r="X73" s="540" t="s">
        <v>95</v>
      </c>
      <c r="Y73" s="540" t="s">
        <v>99</v>
      </c>
      <c r="Z73" s="540" t="s">
        <v>8</v>
      </c>
      <c r="AA73" s="534" t="s">
        <v>87</v>
      </c>
      <c r="AF73" s="200">
        <f t="shared" si="48"/>
        <v>46395</v>
      </c>
      <c r="AG73" s="320">
        <f t="shared" si="50"/>
        <v>46395</v>
      </c>
      <c r="AH73" s="33" t="str">
        <f t="shared" si="51"/>
        <v>P</v>
      </c>
      <c r="AI73" s="99" t="str">
        <f t="shared" si="49"/>
        <v>FARMÁCIA</v>
      </c>
      <c r="AJ73" s="504">
        <v>46315</v>
      </c>
      <c r="AK73" s="502" t="s">
        <v>462</v>
      </c>
      <c r="AL73" s="505">
        <v>80</v>
      </c>
      <c r="AM73" s="48"/>
      <c r="AP73" s="5"/>
      <c r="BE73" s="5"/>
      <c r="BF73" s="5"/>
    </row>
    <row r="74" spans="2:58" ht="15" customHeight="1">
      <c r="B74" s="337"/>
      <c r="C74" s="191"/>
      <c r="D74" s="74"/>
      <c r="E74" s="58" t="str">
        <f t="shared" si="52"/>
        <v/>
      </c>
      <c r="F74" s="351"/>
      <c r="G74" s="343" t="str">
        <f t="shared" si="53"/>
        <v/>
      </c>
      <c r="H74" s="344" t="str">
        <f t="shared" si="46"/>
        <v/>
      </c>
      <c r="I74" s="343" t="str">
        <f t="shared" si="43"/>
        <v/>
      </c>
      <c r="J74" s="387"/>
      <c r="K74" s="351"/>
      <c r="L74" s="384" t="str">
        <f t="shared" si="44"/>
        <v/>
      </c>
      <c r="M74" s="465">
        <f>IF(K74="AV",MAX($M$12:M73)+1,0)</f>
        <v>0</v>
      </c>
      <c r="N74" s="458">
        <f>IF(K74="IT",MAX($N$12:N73)+1,0)</f>
        <v>0</v>
      </c>
      <c r="O74" s="458">
        <f>IF(K74="IT2",MAX($O$12:O73)+1,0)</f>
        <v>0</v>
      </c>
      <c r="P74" s="458">
        <f>IF(K74="ITP",MAX($P$12:P73)+1,0)</f>
        <v>0</v>
      </c>
      <c r="Q74" s="458">
        <f>IF(K74="C6",MAX($Q$12:Q73)+1,0)</f>
        <v>0</v>
      </c>
      <c r="R74" s="365"/>
      <c r="S74" s="348" t="str">
        <f t="shared" si="38"/>
        <v/>
      </c>
      <c r="T74" s="308"/>
      <c r="U74" s="308"/>
      <c r="V74" s="541"/>
      <c r="W74" s="541"/>
      <c r="X74" s="541"/>
      <c r="Y74" s="541"/>
      <c r="Z74" s="541"/>
      <c r="AA74" s="535"/>
      <c r="AF74" s="200">
        <f t="shared" si="48"/>
        <v>46428.35</v>
      </c>
      <c r="AG74" s="320">
        <f t="shared" si="50"/>
        <v>46428.35</v>
      </c>
      <c r="AH74" s="33" t="str">
        <f t="shared" si="51"/>
        <v>P</v>
      </c>
      <c r="AI74" s="99" t="str">
        <f t="shared" si="49"/>
        <v>REF/LANCHE</v>
      </c>
      <c r="AJ74" s="504">
        <v>46314</v>
      </c>
      <c r="AK74" s="502" t="s">
        <v>430</v>
      </c>
      <c r="AL74" s="505">
        <v>114.35</v>
      </c>
      <c r="AM74" s="48"/>
      <c r="AP74" s="5"/>
      <c r="BE74" s="5"/>
      <c r="BF74" s="5"/>
    </row>
    <row r="75" spans="2:58" ht="15" customHeight="1">
      <c r="B75" s="337"/>
      <c r="C75" s="191"/>
      <c r="D75" s="74"/>
      <c r="E75" s="58" t="str">
        <f t="shared" si="52"/>
        <v/>
      </c>
      <c r="F75" s="351"/>
      <c r="G75" s="343" t="str">
        <f t="shared" si="53"/>
        <v/>
      </c>
      <c r="H75" s="344" t="str">
        <f t="shared" si="46"/>
        <v/>
      </c>
      <c r="I75" s="343" t="str">
        <f t="shared" si="43"/>
        <v/>
      </c>
      <c r="J75" s="387"/>
      <c r="K75" s="351"/>
      <c r="L75" s="384" t="str">
        <f t="shared" si="44"/>
        <v/>
      </c>
      <c r="M75" s="465">
        <f>IF(K75="AV",MAX($M$12:M74)+1,0)</f>
        <v>0</v>
      </c>
      <c r="N75" s="458">
        <f>IF(K75="IT",MAX($N$12:N74)+1,0)</f>
        <v>0</v>
      </c>
      <c r="O75" s="458">
        <f>IF(K75="IT2",MAX($O$12:O74)+1,0)</f>
        <v>0</v>
      </c>
      <c r="P75" s="458">
        <f>IF(K75="ITP",MAX($P$12:P74)+1,0)</f>
        <v>0</v>
      </c>
      <c r="Q75" s="458">
        <f>IF(K75="C6",MAX($Q$12:Q74)+1,0)</f>
        <v>0</v>
      </c>
      <c r="R75" s="365"/>
      <c r="S75" s="348" t="str">
        <f t="shared" si="38"/>
        <v/>
      </c>
      <c r="T75" s="308"/>
      <c r="V75" s="526">
        <f t="shared" ref="V75:AA75" si="54">SUM(V82:V151)</f>
        <v>6181.8399999999983</v>
      </c>
      <c r="W75" s="526">
        <f t="shared" si="54"/>
        <v>4957.7999999999993</v>
      </c>
      <c r="X75" s="526">
        <f t="shared" si="54"/>
        <v>352</v>
      </c>
      <c r="Y75" s="526">
        <f t="shared" si="54"/>
        <v>582.16000000000008</v>
      </c>
      <c r="Z75" s="526">
        <f t="shared" si="54"/>
        <v>1708.83</v>
      </c>
      <c r="AA75" s="526">
        <f t="shared" si="54"/>
        <v>1380.9099999999999</v>
      </c>
      <c r="AF75" s="200">
        <f t="shared" si="48"/>
        <v>46426.06</v>
      </c>
      <c r="AG75" s="320">
        <f t="shared" si="50"/>
        <v>46426.06</v>
      </c>
      <c r="AH75" s="33" t="str">
        <f t="shared" si="51"/>
        <v>P</v>
      </c>
      <c r="AI75" s="99" t="str">
        <f t="shared" si="49"/>
        <v>JOÃO</v>
      </c>
      <c r="AJ75" s="504">
        <v>46313</v>
      </c>
      <c r="AK75" s="502" t="s">
        <v>431</v>
      </c>
      <c r="AL75" s="505">
        <v>113.06</v>
      </c>
      <c r="AM75" s="48"/>
      <c r="AP75" s="5"/>
      <c r="BE75" s="5"/>
      <c r="BF75" s="5"/>
    </row>
    <row r="76" spans="2:58" ht="15" customHeight="1">
      <c r="B76" s="337"/>
      <c r="C76" s="191"/>
      <c r="D76" s="74"/>
      <c r="E76" s="58" t="str">
        <f t="shared" si="52"/>
        <v/>
      </c>
      <c r="F76" s="351"/>
      <c r="G76" s="343" t="str">
        <f t="shared" si="53"/>
        <v/>
      </c>
      <c r="H76" s="344" t="str">
        <f t="shared" si="46"/>
        <v/>
      </c>
      <c r="I76" s="343" t="str">
        <f t="shared" si="43"/>
        <v/>
      </c>
      <c r="J76" s="387"/>
      <c r="K76" s="351"/>
      <c r="L76" s="384" t="str">
        <f t="shared" si="44"/>
        <v/>
      </c>
      <c r="M76" s="465">
        <f>IF(K76="AV",MAX($M$12:M75)+1,0)</f>
        <v>0</v>
      </c>
      <c r="N76" s="458">
        <f>IF(K76="IT",MAX($N$12:N75)+1,0)</f>
        <v>0</v>
      </c>
      <c r="O76" s="458">
        <f>IF(K76="IT2",MAX($O$12:O75)+1,0)</f>
        <v>0</v>
      </c>
      <c r="P76" s="458">
        <f>IF(K76="ITP",MAX($P$12:P75)+1,0)</f>
        <v>0</v>
      </c>
      <c r="Q76" s="458">
        <f>IF(K76="C6",MAX($Q$12:Q75)+1,0)</f>
        <v>0</v>
      </c>
      <c r="R76" s="365"/>
      <c r="S76" s="348" t="str">
        <f t="shared" si="38"/>
        <v/>
      </c>
      <c r="T76" s="308"/>
      <c r="V76" s="527"/>
      <c r="W76" s="527"/>
      <c r="X76" s="527"/>
      <c r="Y76" s="527"/>
      <c r="Z76" s="527"/>
      <c r="AA76" s="527"/>
      <c r="AF76" s="200">
        <f t="shared" si="48"/>
        <v>46413</v>
      </c>
      <c r="AG76" s="320">
        <f t="shared" si="50"/>
        <v>46413</v>
      </c>
      <c r="AH76" s="33" t="str">
        <f t="shared" si="51"/>
        <v>P</v>
      </c>
      <c r="AI76" s="99" t="str">
        <f t="shared" si="49"/>
        <v>CARRO</v>
      </c>
      <c r="AJ76" s="504">
        <v>46313</v>
      </c>
      <c r="AK76" s="502" t="s">
        <v>133</v>
      </c>
      <c r="AL76" s="505">
        <v>100</v>
      </c>
      <c r="AM76" s="48"/>
      <c r="AP76" s="5"/>
      <c r="BE76" s="5"/>
      <c r="BF76" s="5"/>
    </row>
    <row r="77" spans="2:58" ht="15" customHeight="1">
      <c r="B77" s="338"/>
      <c r="C77" s="215"/>
      <c r="D77" s="76"/>
      <c r="E77" s="67" t="str">
        <f t="shared" si="52"/>
        <v/>
      </c>
      <c r="F77" s="356"/>
      <c r="G77" s="345" t="str">
        <f t="shared" si="53"/>
        <v/>
      </c>
      <c r="H77" s="346" t="str">
        <f t="shared" si="46"/>
        <v/>
      </c>
      <c r="I77" s="345" t="str">
        <f t="shared" si="43"/>
        <v/>
      </c>
      <c r="J77" s="357"/>
      <c r="K77" s="356"/>
      <c r="L77" s="508" t="str">
        <f t="shared" si="44"/>
        <v/>
      </c>
      <c r="M77" s="466">
        <f>IF(K77="AV",MAX($M$12:M76)+1,0)</f>
        <v>0</v>
      </c>
      <c r="N77" s="459">
        <f>IF(K77="IT",MAX($N$12:N76)+1,0)</f>
        <v>0</v>
      </c>
      <c r="O77" s="459">
        <f>IF(K77="IT2",MAX($O$12:O76)+1,0)</f>
        <v>0</v>
      </c>
      <c r="P77" s="459">
        <f>IF(K77="ITP",MAX($P$12:P76)+1,0)</f>
        <v>0</v>
      </c>
      <c r="Q77" s="459">
        <f>IF(K77="C6",MAX($Q$12:Q76)+1,0)</f>
        <v>0</v>
      </c>
      <c r="R77" s="368"/>
      <c r="S77" s="349" t="str">
        <f t="shared" si="38"/>
        <v/>
      </c>
      <c r="T77" s="308"/>
      <c r="V77" s="695" cm="1">
        <f t="array" aca="1" ref="V77" ca="1">SOMARSEM_COR(V82:V151)</f>
        <v>6181.84</v>
      </c>
      <c r="W77" s="693" cm="1">
        <f t="array" aca="1" ref="W77" ca="1">SOMARSEM_COR(W82:W151)</f>
        <v>4698.33</v>
      </c>
      <c r="X77" s="693" cm="1">
        <f t="array" aca="1" ref="X77" ca="1">SOMARSEM_COR(X82:X151)</f>
        <v>352</v>
      </c>
      <c r="Y77" s="693" cm="1">
        <f t="array" aca="1" ref="Y77" ca="1">SOMARSEM_COR(Y82:Y151)</f>
        <v>582.16</v>
      </c>
      <c r="Z77" s="693" cm="1">
        <f t="array" aca="1" ref="Z77" ca="1">SOMARSEM_COR(Z82:Z151)</f>
        <v>1708.83</v>
      </c>
      <c r="AA77" s="695" cm="1">
        <f t="array" aca="1" ref="AA77" ca="1">SOMARSEM_COR(AA82:AA151)</f>
        <v>1380.91</v>
      </c>
      <c r="AF77" s="200">
        <f t="shared" si="48"/>
        <v>46337.2</v>
      </c>
      <c r="AG77" s="320">
        <f t="shared" si="50"/>
        <v>46337.2</v>
      </c>
      <c r="AH77" s="33" t="str">
        <f t="shared" si="51"/>
        <v>P</v>
      </c>
      <c r="AI77" s="99" t="str">
        <f t="shared" si="49"/>
        <v>JOÃO</v>
      </c>
      <c r="AJ77" s="504">
        <v>46312</v>
      </c>
      <c r="AK77" s="502" t="s">
        <v>63</v>
      </c>
      <c r="AL77" s="505">
        <v>25.2</v>
      </c>
      <c r="AM77" s="48"/>
      <c r="AP77" s="5"/>
      <c r="BE77" s="5"/>
      <c r="BF77" s="5"/>
    </row>
    <row r="78" spans="2:58" ht="15" customHeight="1">
      <c r="B78" s="308"/>
      <c r="C78" s="308"/>
      <c r="D78" s="308"/>
      <c r="E78" s="308"/>
      <c r="F78" s="308"/>
      <c r="G78" s="308"/>
      <c r="H78" s="308"/>
      <c r="I78" s="308"/>
      <c r="J78" s="308"/>
      <c r="K78" s="308"/>
      <c r="L78" s="308"/>
      <c r="M78" s="308"/>
      <c r="N78" s="308"/>
      <c r="O78" s="308"/>
      <c r="P78" s="308"/>
      <c r="Q78" s="308"/>
      <c r="R78" s="308"/>
      <c r="S78" s="308"/>
      <c r="T78" s="308"/>
      <c r="V78" s="696"/>
      <c r="W78" s="693"/>
      <c r="X78" s="693"/>
      <c r="Y78" s="693"/>
      <c r="Z78" s="693"/>
      <c r="AA78" s="696"/>
      <c r="AF78" s="200">
        <f t="shared" si="48"/>
        <v>46362</v>
      </c>
      <c r="AG78" s="320">
        <f t="shared" si="50"/>
        <v>46362</v>
      </c>
      <c r="AH78" s="33" t="str">
        <f t="shared" si="51"/>
        <v>P</v>
      </c>
      <c r="AI78" s="99" t="str">
        <f t="shared" si="49"/>
        <v>DEPOSITAR</v>
      </c>
      <c r="AJ78" s="504">
        <v>46312</v>
      </c>
      <c r="AK78" s="502" t="s">
        <v>176</v>
      </c>
      <c r="AL78" s="505">
        <v>50</v>
      </c>
      <c r="AM78" s="48"/>
      <c r="AP78" s="5"/>
      <c r="BE78" s="5"/>
      <c r="BF78" s="5"/>
    </row>
    <row r="79" spans="2:58" ht="15" customHeight="1">
      <c r="B79" s="545" t="s">
        <v>291</v>
      </c>
      <c r="C79" s="546"/>
      <c r="D79" s="547"/>
      <c r="E79" s="551">
        <f>SUM(E81:E95)</f>
        <v>439.65999999999997</v>
      </c>
      <c r="F79" s="552"/>
      <c r="G79" s="322"/>
      <c r="H79" s="220"/>
      <c r="I79" s="342" t="str">
        <f t="shared" ref="I79:I140" si="55">IF(H79="","","FIXO")</f>
        <v/>
      </c>
      <c r="J79" s="555">
        <f>SUM(S81:S95)</f>
        <v>0</v>
      </c>
      <c r="K79" s="555"/>
      <c r="L79" s="556"/>
      <c r="M79" s="460"/>
      <c r="N79" s="456"/>
      <c r="O79" s="456"/>
      <c r="P79" s="456"/>
      <c r="Q79" s="461"/>
      <c r="R79" s="559">
        <f>SUM(E79,J79)</f>
        <v>439.65999999999997</v>
      </c>
      <c r="S79" s="560"/>
      <c r="T79" s="308"/>
      <c r="V79" s="697"/>
      <c r="W79" s="511" t="str">
        <f ca="1">IF(W77=AQ5,"P","O")</f>
        <v>P</v>
      </c>
      <c r="X79" s="511" t="str">
        <f ca="1">IF(X77=AQ7,"P","O")</f>
        <v>P</v>
      </c>
      <c r="Y79" s="511" t="str">
        <f ca="1">IF(Y77=AQ9,"P","O")</f>
        <v>P</v>
      </c>
      <c r="Z79" s="511" t="str">
        <f>IF(Z75=AQ11,"P","O")</f>
        <v>P</v>
      </c>
      <c r="AA79" s="697"/>
      <c r="AF79" s="200">
        <f t="shared" si="48"/>
        <v>46361.599999999999</v>
      </c>
      <c r="AG79" s="320">
        <f t="shared" si="50"/>
        <v>46361.599999999999</v>
      </c>
      <c r="AH79" s="33" t="str">
        <f t="shared" si="51"/>
        <v>P</v>
      </c>
      <c r="AI79" s="99" t="str">
        <f t="shared" si="49"/>
        <v>REF/LANCHE</v>
      </c>
      <c r="AJ79" s="504">
        <v>46312</v>
      </c>
      <c r="AK79" s="502" t="s">
        <v>73</v>
      </c>
      <c r="AL79" s="505">
        <v>49.6</v>
      </c>
      <c r="AM79" s="48"/>
      <c r="AP79" s="5"/>
      <c r="BE79" s="5"/>
      <c r="BF79" s="5"/>
    </row>
    <row r="80" spans="2:58" ht="15" customHeight="1">
      <c r="B80" s="548"/>
      <c r="C80" s="549"/>
      <c r="D80" s="550"/>
      <c r="E80" s="553"/>
      <c r="F80" s="554"/>
      <c r="G80" s="323"/>
      <c r="H80" s="222"/>
      <c r="I80" s="346" t="str">
        <f t="shared" si="55"/>
        <v/>
      </c>
      <c r="J80" s="557"/>
      <c r="K80" s="557"/>
      <c r="L80" s="558"/>
      <c r="M80" s="462"/>
      <c r="N80" s="457"/>
      <c r="O80" s="457"/>
      <c r="P80" s="457"/>
      <c r="Q80" s="463"/>
      <c r="R80" s="561"/>
      <c r="S80" s="562"/>
      <c r="T80" s="308"/>
      <c r="V80" s="694" cm="1">
        <f t="array" aca="1" ref="V80" ca="1">SOMARPORCOR(V82:V151, BC5)</f>
        <v>0</v>
      </c>
      <c r="W80" s="694" cm="1">
        <f t="array" aca="1" ref="W80" ca="1">SOMARPORCOR(W82:W151, BC5)</f>
        <v>259.47000000000003</v>
      </c>
      <c r="X80" s="694" cm="1">
        <f t="array" aca="1" ref="X80" ca="1">SOMARPORCOR(X82:X151, BC5)</f>
        <v>0</v>
      </c>
      <c r="Y80" s="694" cm="1">
        <f t="array" aca="1" ref="Y80" ca="1">SOMARPORCOR(Y82:Y151, BC5)</f>
        <v>0</v>
      </c>
      <c r="Z80" s="694" cm="1">
        <f t="array" aca="1" ref="Z80" ca="1">SOMARPORCOR(Z82:Z151, BC5)</f>
        <v>0</v>
      </c>
      <c r="AA80" s="694" cm="1">
        <f t="array" aca="1" ref="AA80" ca="1">SOMARPORCOR(AA82:AA151, BC5)</f>
        <v>0</v>
      </c>
      <c r="AF80" s="200">
        <f t="shared" si="48"/>
        <v>46329</v>
      </c>
      <c r="AG80" s="320">
        <f t="shared" si="50"/>
        <v>46329</v>
      </c>
      <c r="AH80" s="33" t="str">
        <f t="shared" si="51"/>
        <v>P</v>
      </c>
      <c r="AI80" s="99" t="str">
        <f t="shared" si="49"/>
        <v>JOÃO</v>
      </c>
      <c r="AJ80" s="504">
        <v>46312</v>
      </c>
      <c r="AK80" s="502" t="s">
        <v>63</v>
      </c>
      <c r="AL80" s="505">
        <v>17</v>
      </c>
      <c r="AM80" s="48"/>
      <c r="AN80" s="5"/>
      <c r="AP80" s="5"/>
      <c r="AW80" s="18"/>
      <c r="AX80" s="18"/>
      <c r="AY80" s="18"/>
      <c r="AZ80" s="18"/>
      <c r="BA80" s="18"/>
      <c r="BB80" s="18"/>
      <c r="BC80" s="18"/>
      <c r="BD80" s="18"/>
      <c r="BF80" s="18"/>
    </row>
    <row r="81" spans="2:59" ht="15" customHeight="1">
      <c r="B81" s="337">
        <v>37.89</v>
      </c>
      <c r="C81" s="191">
        <v>46307</v>
      </c>
      <c r="D81" s="74" t="s">
        <v>392</v>
      </c>
      <c r="E81" s="58">
        <f t="shared" ref="E81:E92" si="56">IF(OR(B81="",F81="Pago"),"",B81)</f>
        <v>37.89</v>
      </c>
      <c r="F81" s="351" t="s">
        <v>135</v>
      </c>
      <c r="G81" s="343">
        <f t="shared" ref="G81:G92" si="57">IF(B81="","",B81+C81)</f>
        <v>46344.89</v>
      </c>
      <c r="H81" s="344">
        <f t="shared" ref="H81:H95" si="58">IFERROR(VLOOKUP(G81,$AG$5:$AG$174,1,0),"")</f>
        <v>46344.89</v>
      </c>
      <c r="I81" s="343" t="str">
        <f>IF(H81="","","REF/LANCHE")</f>
        <v>REF/LANCHE</v>
      </c>
      <c r="J81" s="383" t="s">
        <v>89</v>
      </c>
      <c r="K81" s="351" t="s">
        <v>90</v>
      </c>
      <c r="L81" s="384" t="str">
        <f t="shared" ref="L81:L92" si="59">IF(K81="AV","8",IF(AND(G81="",H81=""),"",IF(G81=H81,"P",IF(G81&lt;&gt;H81,"O"))))</f>
        <v>P</v>
      </c>
      <c r="M81" s="465">
        <f>IF(K81="AV",MAX($M$12:M80)+1,0)</f>
        <v>0</v>
      </c>
      <c r="N81" s="458">
        <f>IF(K81="IT",MAX($N$12:N80)+1,0)</f>
        <v>13</v>
      </c>
      <c r="O81" s="458">
        <f>IF(K81="IT2",MAX($O$12:O80)+1,0)</f>
        <v>0</v>
      </c>
      <c r="P81" s="458">
        <f>IF(K81="ITP",MAX($P$12:P80)+1,0)</f>
        <v>0</v>
      </c>
      <c r="Q81" s="458">
        <f>IF(K81="C6",MAX($Q$12:Q80)+1,0)</f>
        <v>0</v>
      </c>
      <c r="R81" s="354"/>
      <c r="S81" s="348" t="str">
        <f t="shared" ref="S81:S92" si="60">IF(F81="Pago",B81,"")</f>
        <v/>
      </c>
      <c r="T81" s="308"/>
      <c r="V81" s="694"/>
      <c r="W81" s="694"/>
      <c r="X81" s="694"/>
      <c r="Y81" s="694"/>
      <c r="Z81" s="694"/>
      <c r="AA81" s="694"/>
      <c r="AF81" s="200">
        <f t="shared" si="48"/>
        <v>46478.7</v>
      </c>
      <c r="AG81" s="320">
        <f t="shared" si="50"/>
        <v>46478.7</v>
      </c>
      <c r="AH81" s="33" t="str">
        <f t="shared" si="51"/>
        <v>P</v>
      </c>
      <c r="AI81" s="99" t="str">
        <f t="shared" si="49"/>
        <v>GUTO</v>
      </c>
      <c r="AJ81" s="504">
        <v>46312</v>
      </c>
      <c r="AK81" s="502" t="s">
        <v>432</v>
      </c>
      <c r="AL81" s="505">
        <v>166.7</v>
      </c>
      <c r="AM81" s="48"/>
      <c r="AN81" s="5"/>
      <c r="AP81" s="5"/>
      <c r="AW81" s="18"/>
      <c r="AX81" s="18"/>
      <c r="AY81" s="18"/>
      <c r="AZ81" s="18"/>
      <c r="BA81" s="18"/>
      <c r="BB81" s="18"/>
      <c r="BC81" s="18"/>
      <c r="BD81" s="18"/>
      <c r="BF81" s="18"/>
    </row>
    <row r="82" spans="2:59" ht="15" customHeight="1">
      <c r="B82" s="337">
        <v>38.29</v>
      </c>
      <c r="C82" s="191">
        <v>46309</v>
      </c>
      <c r="D82" s="74" t="s">
        <v>401</v>
      </c>
      <c r="E82" s="58">
        <f t="shared" si="56"/>
        <v>38.29</v>
      </c>
      <c r="F82" s="351" t="s">
        <v>135</v>
      </c>
      <c r="G82" s="343">
        <f t="shared" si="57"/>
        <v>46347.29</v>
      </c>
      <c r="H82" s="344">
        <f t="shared" si="58"/>
        <v>46347.29</v>
      </c>
      <c r="I82" s="343" t="str">
        <f t="shared" ref="I82:I95" si="61">IF(H82="","","REF/LANCHE")</f>
        <v>REF/LANCHE</v>
      </c>
      <c r="J82" s="383" t="s">
        <v>98</v>
      </c>
      <c r="K82" s="351" t="s">
        <v>90</v>
      </c>
      <c r="L82" s="384" t="str">
        <f t="shared" si="59"/>
        <v>P</v>
      </c>
      <c r="M82" s="465">
        <f>IF(K82="AV",MAX($M$12:M81)+1,0)</f>
        <v>0</v>
      </c>
      <c r="N82" s="458">
        <f>IF(K82="IT",MAX($N$12:N81)+1,0)</f>
        <v>14</v>
      </c>
      <c r="O82" s="458">
        <f>IF(K82="IT2",MAX($O$12:O81)+1,0)</f>
        <v>0</v>
      </c>
      <c r="P82" s="458">
        <f>IF(K82="ITP",MAX($P$12:P81)+1,0)</f>
        <v>0</v>
      </c>
      <c r="Q82" s="458">
        <f>IF(K82="C6",MAX($Q$12:Q81)+1,0)</f>
        <v>0</v>
      </c>
      <c r="R82" s="354"/>
      <c r="S82" s="348" t="str">
        <f t="shared" si="60"/>
        <v/>
      </c>
      <c r="T82" s="308"/>
      <c r="U82" s="470">
        <v>1</v>
      </c>
      <c r="V82" s="467">
        <f t="shared" ref="V82:V113" si="62">IF(COUNTIF($M$12:$M$239,U82)=0,0,INDEX($B$12:$B$239,MATCH(U82,$M$12:$M$239,0)))</f>
        <v>560</v>
      </c>
      <c r="W82" s="467">
        <f t="shared" ref="W82:W113" si="63">IF(COUNTIF($N$12:$N$239,U82)=0,0,INDEX($B$12:$B$239,MATCH(U82,$N$12:$N$239,0)))</f>
        <v>59.9</v>
      </c>
      <c r="X82" s="467">
        <f t="shared" ref="X82:X113" si="64">IF(COUNTIF($O$12:$O$239,U82)=0,0,INDEX($B$12:$B$239,MATCH(U82,$O$12:$O$239,0)))</f>
        <v>352</v>
      </c>
      <c r="Y82" s="467">
        <f t="shared" ref="Y82:Y113" si="65">IF(COUNTIF($P$12:$P$239,U82)=0,0,INDEX($B$12:$B$239,MATCH(U82,$P$12:$P$239,0)))</f>
        <v>248.91</v>
      </c>
      <c r="Z82" s="467">
        <f t="shared" ref="Z82:Z113" si="66">IF(COUNTIF($Q$12:$Q$239,U82)=0,0,INDEX($B$12:$B$239,MATCH(U82,$Q$12:$Q$239,0)))</f>
        <v>4.1500000000000004</v>
      </c>
      <c r="AA82" s="473">
        <f>IF(Y54&lt;&gt;0,Y54,"")</f>
        <v>680.91</v>
      </c>
      <c r="AF82" s="200">
        <f t="shared" si="48"/>
        <v>46351.79</v>
      </c>
      <c r="AG82" s="320">
        <f t="shared" si="50"/>
        <v>46351.79</v>
      </c>
      <c r="AH82" s="33" t="str">
        <f t="shared" si="51"/>
        <v>P</v>
      </c>
      <c r="AI82" s="99" t="str">
        <f t="shared" si="49"/>
        <v>REF/LANCHE</v>
      </c>
      <c r="AJ82" s="504">
        <v>46312</v>
      </c>
      <c r="AK82" s="502" t="s">
        <v>65</v>
      </c>
      <c r="AL82" s="505">
        <v>39.79</v>
      </c>
      <c r="AM82" s="48"/>
      <c r="AN82" s="5"/>
      <c r="AP82" s="5"/>
      <c r="AW82" s="18"/>
      <c r="AX82" s="18"/>
      <c r="AY82" s="18"/>
      <c r="AZ82" s="18"/>
      <c r="BA82" s="18"/>
      <c r="BB82" s="18"/>
      <c r="BC82" s="18"/>
      <c r="BD82" s="18"/>
      <c r="BF82" s="18"/>
    </row>
    <row r="83" spans="2:59" ht="15" customHeight="1">
      <c r="B83" s="337">
        <v>43.86</v>
      </c>
      <c r="C83" s="191">
        <v>46311</v>
      </c>
      <c r="D83" s="74" t="s">
        <v>402</v>
      </c>
      <c r="E83" s="58">
        <f t="shared" si="56"/>
        <v>43.86</v>
      </c>
      <c r="F83" s="351" t="s">
        <v>135</v>
      </c>
      <c r="G83" s="343">
        <f t="shared" si="57"/>
        <v>46354.86</v>
      </c>
      <c r="H83" s="344">
        <f t="shared" si="58"/>
        <v>46354.86</v>
      </c>
      <c r="I83" s="343" t="str">
        <f t="shared" si="61"/>
        <v>REF/LANCHE</v>
      </c>
      <c r="J83" s="383" t="s">
        <v>89</v>
      </c>
      <c r="K83" s="351" t="s">
        <v>90</v>
      </c>
      <c r="L83" s="384" t="str">
        <f t="shared" si="59"/>
        <v>P</v>
      </c>
      <c r="M83" s="465">
        <f>IF(K83="AV",MAX($M$12:M82)+1,0)</f>
        <v>0</v>
      </c>
      <c r="N83" s="458">
        <f>IF(K83="IT",MAX($N$12:N82)+1,0)</f>
        <v>15</v>
      </c>
      <c r="O83" s="458">
        <f>IF(K83="IT2",MAX($O$12:O82)+1,0)</f>
        <v>0</v>
      </c>
      <c r="P83" s="458">
        <f>IF(K83="ITP",MAX($P$12:P82)+1,0)</f>
        <v>0</v>
      </c>
      <c r="Q83" s="458">
        <f>IF(K83="C6",MAX($Q$12:Q82)+1,0)</f>
        <v>0</v>
      </c>
      <c r="R83" s="354"/>
      <c r="S83" s="348" t="str">
        <f t="shared" si="60"/>
        <v/>
      </c>
      <c r="T83" s="308"/>
      <c r="U83" s="471">
        <v>2</v>
      </c>
      <c r="V83" s="468">
        <f t="shared" si="62"/>
        <v>80</v>
      </c>
      <c r="W83" s="468">
        <f t="shared" si="63"/>
        <v>26.9</v>
      </c>
      <c r="X83" s="468">
        <f t="shared" si="64"/>
        <v>0</v>
      </c>
      <c r="Y83" s="468">
        <f t="shared" si="65"/>
        <v>12.15</v>
      </c>
      <c r="Z83" s="468">
        <f t="shared" si="66"/>
        <v>248.24</v>
      </c>
      <c r="AA83" s="474">
        <f>IF(Y55&lt;&gt;0,Y55,"")</f>
        <v>200</v>
      </c>
      <c r="AF83" s="200">
        <f t="shared" si="48"/>
        <v>46349.39</v>
      </c>
      <c r="AG83" s="320">
        <f t="shared" si="50"/>
        <v>46349.39</v>
      </c>
      <c r="AH83" s="33" t="str">
        <f t="shared" si="51"/>
        <v>P</v>
      </c>
      <c r="AI83" s="99" t="str">
        <f t="shared" si="49"/>
        <v>REF/LANCHE</v>
      </c>
      <c r="AJ83" s="504">
        <v>46312</v>
      </c>
      <c r="AK83" s="502" t="s">
        <v>433</v>
      </c>
      <c r="AL83" s="505">
        <v>37.39</v>
      </c>
      <c r="AM83" s="48"/>
      <c r="AN83" s="5"/>
      <c r="AP83" s="5"/>
      <c r="AW83" s="18"/>
      <c r="AX83" s="18"/>
      <c r="AY83" s="18"/>
      <c r="AZ83" s="18"/>
      <c r="BA83" s="18"/>
      <c r="BB83" s="18"/>
      <c r="BC83" s="18"/>
      <c r="BD83" s="18"/>
      <c r="BF83" s="18"/>
    </row>
    <row r="84" spans="2:59" ht="15" customHeight="1">
      <c r="B84" s="337">
        <v>24.89</v>
      </c>
      <c r="C84" s="191">
        <v>46311</v>
      </c>
      <c r="D84" s="74" t="s">
        <v>402</v>
      </c>
      <c r="E84" s="58">
        <f t="shared" si="56"/>
        <v>24.89</v>
      </c>
      <c r="F84" s="351" t="s">
        <v>135</v>
      </c>
      <c r="G84" s="343">
        <f t="shared" ref="G84" si="67">IF(B84="","",B84+C84)</f>
        <v>46335.89</v>
      </c>
      <c r="H84" s="344">
        <f t="shared" si="58"/>
        <v>46335.89</v>
      </c>
      <c r="I84" s="343" t="str">
        <f t="shared" ref="I84" si="68">IF(H84="","","REF/LANCHE")</f>
        <v>REF/LANCHE</v>
      </c>
      <c r="J84" s="383" t="s">
        <v>89</v>
      </c>
      <c r="K84" s="351" t="s">
        <v>90</v>
      </c>
      <c r="L84" s="384" t="str">
        <f t="shared" si="59"/>
        <v>P</v>
      </c>
      <c r="M84" s="465">
        <f>IF(K84="AV",MAX($M$12:M83)+1,0)</f>
        <v>0</v>
      </c>
      <c r="N84" s="458">
        <f>IF(K84="IT",MAX($N$12:N83)+1,0)</f>
        <v>16</v>
      </c>
      <c r="O84" s="458">
        <f>IF(K84="IT2",MAX($O$12:O83)+1,0)</f>
        <v>0</v>
      </c>
      <c r="P84" s="458">
        <f>IF(K84="ITP",MAX($P$12:P83)+1,0)</f>
        <v>0</v>
      </c>
      <c r="Q84" s="458">
        <f>IF(K84="C6",MAX($Q$12:Q83)+1,0)</f>
        <v>0</v>
      </c>
      <c r="R84" s="354"/>
      <c r="S84" s="348" t="str">
        <f t="shared" si="60"/>
        <v/>
      </c>
      <c r="T84" s="308"/>
      <c r="U84" s="471">
        <v>3</v>
      </c>
      <c r="V84" s="468">
        <f t="shared" si="62"/>
        <v>350</v>
      </c>
      <c r="W84" s="468">
        <f t="shared" si="63"/>
        <v>31.43</v>
      </c>
      <c r="X84" s="468">
        <f t="shared" si="64"/>
        <v>0</v>
      </c>
      <c r="Y84" s="468">
        <f t="shared" si="65"/>
        <v>321.10000000000002</v>
      </c>
      <c r="Z84" s="468">
        <f t="shared" si="66"/>
        <v>247.18</v>
      </c>
      <c r="AA84" s="474">
        <f>IF(Y56&lt;&gt;0,Y56,"")</f>
        <v>500</v>
      </c>
      <c r="AF84" s="200">
        <f t="shared" si="48"/>
        <v>46354.86</v>
      </c>
      <c r="AG84" s="320">
        <f t="shared" si="50"/>
        <v>46354.86</v>
      </c>
      <c r="AH84" s="33" t="str">
        <f t="shared" si="51"/>
        <v>P</v>
      </c>
      <c r="AI84" s="99" t="str">
        <f t="shared" si="49"/>
        <v>REF/LANCHE</v>
      </c>
      <c r="AJ84" s="504">
        <v>46311</v>
      </c>
      <c r="AK84" s="502" t="s">
        <v>434</v>
      </c>
      <c r="AL84" s="505">
        <v>43.86</v>
      </c>
      <c r="AM84" s="48"/>
      <c r="AN84" s="5"/>
      <c r="AP84" s="5"/>
      <c r="AW84" s="18"/>
      <c r="AX84" s="18"/>
      <c r="AY84" s="18"/>
      <c r="AZ84" s="18"/>
      <c r="BA84" s="18"/>
      <c r="BB84" s="18"/>
      <c r="BC84" s="18"/>
      <c r="BD84" s="18"/>
      <c r="BF84" s="18"/>
    </row>
    <row r="85" spans="2:59" ht="15" customHeight="1">
      <c r="B85" s="337">
        <v>49.6</v>
      </c>
      <c r="C85" s="191">
        <v>46312</v>
      </c>
      <c r="D85" s="74" t="s">
        <v>405</v>
      </c>
      <c r="E85" s="58">
        <f t="shared" si="56"/>
        <v>49.6</v>
      </c>
      <c r="F85" s="351" t="s">
        <v>135</v>
      </c>
      <c r="G85" s="343">
        <f t="shared" si="57"/>
        <v>46361.599999999999</v>
      </c>
      <c r="H85" s="344">
        <f t="shared" si="58"/>
        <v>46361.599999999999</v>
      </c>
      <c r="I85" s="343" t="str">
        <f t="shared" si="61"/>
        <v>REF/LANCHE</v>
      </c>
      <c r="J85" s="383" t="s">
        <v>94</v>
      </c>
      <c r="K85" s="351" t="s">
        <v>90</v>
      </c>
      <c r="L85" s="384" t="str">
        <f t="shared" si="59"/>
        <v>P</v>
      </c>
      <c r="M85" s="465">
        <f>IF(K85="AV",MAX($M$12:M84)+1,0)</f>
        <v>0</v>
      </c>
      <c r="N85" s="458">
        <f>IF(K85="IT",MAX($N$12:N84)+1,0)</f>
        <v>17</v>
      </c>
      <c r="O85" s="458">
        <f>IF(K85="IT2",MAX($O$12:O84)+1,0)</f>
        <v>0</v>
      </c>
      <c r="P85" s="458">
        <f>IF(K85="ITP",MAX($P$12:P84)+1,0)</f>
        <v>0</v>
      </c>
      <c r="Q85" s="458">
        <f>IF(K85="C6",MAX($Q$12:Q84)+1,0)</f>
        <v>0</v>
      </c>
      <c r="R85" s="354"/>
      <c r="S85" s="348" t="str">
        <f t="shared" si="60"/>
        <v/>
      </c>
      <c r="T85" s="308"/>
      <c r="U85" s="471">
        <v>4</v>
      </c>
      <c r="V85" s="468">
        <f t="shared" si="62"/>
        <v>936.24</v>
      </c>
      <c r="W85" s="468">
        <f t="shared" si="63"/>
        <v>24.9</v>
      </c>
      <c r="X85" s="468">
        <f t="shared" si="64"/>
        <v>0</v>
      </c>
      <c r="Y85" s="468">
        <f t="shared" si="65"/>
        <v>0</v>
      </c>
      <c r="Z85" s="468">
        <f t="shared" si="66"/>
        <v>33.33</v>
      </c>
      <c r="AA85" s="474" t="str">
        <f>IF(Y64="R$ 0,00","",Y64)</f>
        <v/>
      </c>
      <c r="AF85" s="200">
        <f t="shared" si="48"/>
        <v>46335.89</v>
      </c>
      <c r="AG85" s="320">
        <f t="shared" si="50"/>
        <v>46335.89</v>
      </c>
      <c r="AH85" s="33" t="str">
        <f t="shared" si="51"/>
        <v>P</v>
      </c>
      <c r="AI85" s="99" t="str">
        <f t="shared" si="49"/>
        <v>REF/LANCHE</v>
      </c>
      <c r="AJ85" s="504">
        <v>46311</v>
      </c>
      <c r="AK85" s="502" t="s">
        <v>435</v>
      </c>
      <c r="AL85" s="505">
        <v>24.89</v>
      </c>
      <c r="AM85" s="48"/>
      <c r="AN85" s="5"/>
      <c r="AP85" s="5"/>
      <c r="AW85" s="18"/>
      <c r="AX85" s="18"/>
      <c r="AY85" s="18"/>
      <c r="AZ85" s="18"/>
      <c r="BA85" s="18"/>
      <c r="BB85" s="18"/>
      <c r="BC85" s="18"/>
      <c r="BD85" s="18"/>
      <c r="BF85" s="18"/>
    </row>
    <row r="86" spans="2:59" ht="15" customHeight="1">
      <c r="B86" s="337">
        <v>39.79</v>
      </c>
      <c r="C86" s="191">
        <v>46312</v>
      </c>
      <c r="D86" s="74" t="s">
        <v>50</v>
      </c>
      <c r="E86" s="58">
        <f t="shared" si="56"/>
        <v>39.79</v>
      </c>
      <c r="F86" s="351" t="s">
        <v>135</v>
      </c>
      <c r="G86" s="343">
        <f t="shared" ref="G86" si="69">IF(B86="","",B86+C86)</f>
        <v>46351.79</v>
      </c>
      <c r="H86" s="344">
        <f t="shared" si="58"/>
        <v>46351.79</v>
      </c>
      <c r="I86" s="343" t="str">
        <f t="shared" ref="I86" si="70">IF(H86="","","REF/LANCHE")</f>
        <v>REF/LANCHE</v>
      </c>
      <c r="J86" s="383" t="s">
        <v>94</v>
      </c>
      <c r="K86" s="351" t="s">
        <v>90</v>
      </c>
      <c r="L86" s="384" t="str">
        <f t="shared" si="59"/>
        <v>P</v>
      </c>
      <c r="M86" s="465">
        <f>IF(K86="AV",MAX($M$12:M85)+1,0)</f>
        <v>0</v>
      </c>
      <c r="N86" s="458">
        <f>IF(K86="IT",MAX($N$12:N85)+1,0)</f>
        <v>18</v>
      </c>
      <c r="O86" s="458">
        <f>IF(K86="IT2",MAX($O$12:O85)+1,0)</f>
        <v>0</v>
      </c>
      <c r="P86" s="458">
        <f>IF(K86="ITP",MAX($P$12:P85)+1,0)</f>
        <v>0</v>
      </c>
      <c r="Q86" s="458">
        <f>IF(K86="C6",MAX($Q$12:Q85)+1,0)</f>
        <v>0</v>
      </c>
      <c r="R86" s="354"/>
      <c r="S86" s="348" t="str">
        <f t="shared" si="60"/>
        <v/>
      </c>
      <c r="T86" s="308"/>
      <c r="U86" s="471">
        <v>5</v>
      </c>
      <c r="V86" s="468">
        <f t="shared" si="62"/>
        <v>2139</v>
      </c>
      <c r="W86" s="468">
        <f t="shared" si="63"/>
        <v>27</v>
      </c>
      <c r="X86" s="468">
        <f t="shared" si="64"/>
        <v>0</v>
      </c>
      <c r="Y86" s="468">
        <f t="shared" si="65"/>
        <v>0</v>
      </c>
      <c r="Z86" s="468">
        <f t="shared" si="66"/>
        <v>79.16</v>
      </c>
      <c r="AA86" s="474"/>
      <c r="AF86" s="200">
        <f t="shared" si="48"/>
        <v>46350.05</v>
      </c>
      <c r="AG86" s="320">
        <f t="shared" si="50"/>
        <v>46350.05</v>
      </c>
      <c r="AH86" s="33" t="str">
        <f t="shared" si="51"/>
        <v>P</v>
      </c>
      <c r="AI86" s="99" t="str">
        <f t="shared" si="49"/>
        <v>GUTO</v>
      </c>
      <c r="AJ86" s="504">
        <v>46311</v>
      </c>
      <c r="AK86" s="502" t="s">
        <v>75</v>
      </c>
      <c r="AL86" s="505">
        <v>39.049999999999997</v>
      </c>
      <c r="AM86" s="48"/>
      <c r="AN86" s="5"/>
      <c r="AP86" s="5"/>
      <c r="AW86" s="18"/>
      <c r="AX86" s="18"/>
      <c r="AY86" s="18"/>
      <c r="AZ86" s="18"/>
      <c r="BA86" s="18"/>
      <c r="BB86" s="18"/>
      <c r="BC86" s="18"/>
      <c r="BD86" s="18"/>
      <c r="BF86" s="18"/>
    </row>
    <row r="87" spans="2:59" ht="15" customHeight="1">
      <c r="B87" s="337">
        <v>37.39</v>
      </c>
      <c r="C87" s="191">
        <v>46312</v>
      </c>
      <c r="D87" s="74" t="s">
        <v>406</v>
      </c>
      <c r="E87" s="58">
        <f t="shared" si="56"/>
        <v>37.39</v>
      </c>
      <c r="F87" s="351" t="s">
        <v>135</v>
      </c>
      <c r="G87" s="343">
        <f t="shared" ref="G87" si="71">IF(B87="","",B87+C87)</f>
        <v>46349.39</v>
      </c>
      <c r="H87" s="344">
        <f t="shared" si="58"/>
        <v>46349.39</v>
      </c>
      <c r="I87" s="343" t="str">
        <f t="shared" ref="I87" si="72">IF(H87="","","REF/LANCHE")</f>
        <v>REF/LANCHE</v>
      </c>
      <c r="J87" s="383" t="s">
        <v>94</v>
      </c>
      <c r="K87" s="351" t="s">
        <v>90</v>
      </c>
      <c r="L87" s="384" t="str">
        <f t="shared" si="59"/>
        <v>P</v>
      </c>
      <c r="M87" s="465">
        <f>IF(K87="AV",MAX($M$12:M86)+1,0)</f>
        <v>0</v>
      </c>
      <c r="N87" s="458">
        <f>IF(K87="IT",MAX($N$12:N86)+1,0)</f>
        <v>19</v>
      </c>
      <c r="O87" s="458">
        <f>IF(K87="IT2",MAX($O$12:O86)+1,0)</f>
        <v>0</v>
      </c>
      <c r="P87" s="458">
        <f>IF(K87="ITP",MAX($P$12:P86)+1,0)</f>
        <v>0</v>
      </c>
      <c r="Q87" s="458">
        <f>IF(K87="C6",MAX($Q$12:Q86)+1,0)</f>
        <v>0</v>
      </c>
      <c r="R87" s="354"/>
      <c r="S87" s="348" t="str">
        <f t="shared" si="60"/>
        <v/>
      </c>
      <c r="T87" s="308"/>
      <c r="U87" s="471">
        <v>6</v>
      </c>
      <c r="V87" s="468">
        <f t="shared" si="62"/>
        <v>1000</v>
      </c>
      <c r="W87" s="468">
        <f t="shared" si="63"/>
        <v>523.72</v>
      </c>
      <c r="X87" s="468">
        <f t="shared" si="64"/>
        <v>0</v>
      </c>
      <c r="Y87" s="468">
        <f t="shared" si="65"/>
        <v>0</v>
      </c>
      <c r="Z87" s="468">
        <f t="shared" si="66"/>
        <v>141.16999999999999</v>
      </c>
      <c r="AA87" s="474"/>
      <c r="AF87" s="200">
        <f t="shared" si="48"/>
        <v>46347.29</v>
      </c>
      <c r="AG87" s="320">
        <f t="shared" si="50"/>
        <v>46347.29</v>
      </c>
      <c r="AH87" s="33" t="str">
        <f t="shared" si="51"/>
        <v>P</v>
      </c>
      <c r="AI87" s="99" t="str">
        <f t="shared" si="49"/>
        <v>REF/LANCHE</v>
      </c>
      <c r="AJ87" s="504">
        <v>46309</v>
      </c>
      <c r="AK87" s="502" t="s">
        <v>65</v>
      </c>
      <c r="AL87" s="505">
        <v>38.29</v>
      </c>
      <c r="AM87" s="48"/>
      <c r="AN87" s="5"/>
      <c r="AP87" s="5"/>
      <c r="AW87" s="18"/>
      <c r="AX87" s="18"/>
      <c r="AY87" s="18"/>
      <c r="AZ87" s="18"/>
      <c r="BA87" s="18"/>
      <c r="BB87" s="18"/>
      <c r="BC87" s="18"/>
      <c r="BD87" s="18"/>
      <c r="BF87" s="18"/>
    </row>
    <row r="88" spans="2:59" ht="15" customHeight="1">
      <c r="B88" s="337">
        <v>114.35</v>
      </c>
      <c r="C88" s="191">
        <v>46314</v>
      </c>
      <c r="D88" s="74" t="s">
        <v>407</v>
      </c>
      <c r="E88" s="58">
        <f t="shared" si="56"/>
        <v>114.35</v>
      </c>
      <c r="F88" s="351" t="s">
        <v>135</v>
      </c>
      <c r="G88" s="343">
        <f t="shared" ref="G88" si="73">IF(B88="","",B88+C88)</f>
        <v>46428.35</v>
      </c>
      <c r="H88" s="344">
        <f t="shared" si="58"/>
        <v>46428.35</v>
      </c>
      <c r="I88" s="343" t="str">
        <f t="shared" ref="I88" si="74">IF(H88="","","REF/LANCHE")</f>
        <v>REF/LANCHE</v>
      </c>
      <c r="J88" s="383" t="s">
        <v>94</v>
      </c>
      <c r="K88" s="351" t="s">
        <v>90</v>
      </c>
      <c r="L88" s="384" t="str">
        <f t="shared" si="59"/>
        <v>P</v>
      </c>
      <c r="M88" s="465">
        <f>IF(K88="AV",MAX($M$12:M87)+1,0)</f>
        <v>0</v>
      </c>
      <c r="N88" s="458">
        <f>IF(K88="IT",MAX($N$12:N87)+1,0)</f>
        <v>20</v>
      </c>
      <c r="O88" s="458">
        <f>IF(K88="IT2",MAX($O$12:O87)+1,0)</f>
        <v>0</v>
      </c>
      <c r="P88" s="458">
        <f>IF(K88="ITP",MAX($P$12:P87)+1,0)</f>
        <v>0</v>
      </c>
      <c r="Q88" s="458">
        <f>IF(K88="C6",MAX($Q$12:Q87)+1,0)</f>
        <v>0</v>
      </c>
      <c r="R88" s="354"/>
      <c r="S88" s="348" t="str">
        <f t="shared" si="60"/>
        <v/>
      </c>
      <c r="T88" s="308"/>
      <c r="U88" s="471">
        <v>7</v>
      </c>
      <c r="V88" s="468">
        <f t="shared" si="62"/>
        <v>500</v>
      </c>
      <c r="W88" s="468">
        <f t="shared" si="63"/>
        <v>49.9</v>
      </c>
      <c r="X88" s="468">
        <f t="shared" si="64"/>
        <v>0</v>
      </c>
      <c r="Y88" s="468">
        <f t="shared" si="65"/>
        <v>0</v>
      </c>
      <c r="Z88" s="468">
        <f t="shared" si="66"/>
        <v>68.84</v>
      </c>
      <c r="AA88" s="474"/>
      <c r="AF88" s="200">
        <f t="shared" si="48"/>
        <v>46352</v>
      </c>
      <c r="AG88" s="320">
        <f t="shared" si="50"/>
        <v>46352</v>
      </c>
      <c r="AH88" s="33" t="str">
        <f t="shared" si="51"/>
        <v>P</v>
      </c>
      <c r="AI88" s="99" t="str">
        <f t="shared" si="49"/>
        <v>GUTO</v>
      </c>
      <c r="AJ88" s="504">
        <v>46309</v>
      </c>
      <c r="AK88" s="502" t="s">
        <v>436</v>
      </c>
      <c r="AL88" s="505">
        <v>43</v>
      </c>
      <c r="AM88" s="48"/>
      <c r="AN88" s="5"/>
      <c r="AP88" s="5"/>
      <c r="AW88" s="18"/>
      <c r="AX88" s="18"/>
      <c r="AY88" s="18"/>
      <c r="AZ88" s="18"/>
      <c r="BA88" s="18"/>
      <c r="BB88" s="18"/>
      <c r="BC88" s="18"/>
      <c r="BD88" s="18"/>
      <c r="BF88" s="18"/>
    </row>
    <row r="89" spans="2:59" ht="15" customHeight="1">
      <c r="B89" s="337">
        <v>53.6</v>
      </c>
      <c r="C89" s="191">
        <v>46318</v>
      </c>
      <c r="D89" s="74" t="s">
        <v>465</v>
      </c>
      <c r="E89" s="58">
        <f t="shared" si="56"/>
        <v>53.6</v>
      </c>
      <c r="F89" s="351" t="s">
        <v>135</v>
      </c>
      <c r="G89" s="343">
        <f t="shared" si="57"/>
        <v>46371.6</v>
      </c>
      <c r="H89" s="344">
        <f t="shared" si="58"/>
        <v>46371.6</v>
      </c>
      <c r="I89" s="343" t="str">
        <f t="shared" si="61"/>
        <v>REF/LANCHE</v>
      </c>
      <c r="J89" s="383" t="s">
        <v>94</v>
      </c>
      <c r="K89" s="351" t="s">
        <v>90</v>
      </c>
      <c r="L89" s="384" t="str">
        <f t="shared" si="59"/>
        <v>P</v>
      </c>
      <c r="M89" s="465">
        <f>IF(K89="AV",MAX($M$12:M88)+1,0)</f>
        <v>0</v>
      </c>
      <c r="N89" s="458">
        <f>IF(K89="IT",MAX($N$12:N88)+1,0)</f>
        <v>21</v>
      </c>
      <c r="O89" s="458">
        <f>IF(K89="IT2",MAX($O$12:O88)+1,0)</f>
        <v>0</v>
      </c>
      <c r="P89" s="458">
        <f>IF(K89="ITP",MAX($P$12:P88)+1,0)</f>
        <v>0</v>
      </c>
      <c r="Q89" s="458">
        <f>IF(K89="C6",MAX($Q$12:Q88)+1,0)</f>
        <v>0</v>
      </c>
      <c r="R89" s="354"/>
      <c r="S89" s="348" t="str">
        <f t="shared" si="60"/>
        <v/>
      </c>
      <c r="T89" s="308"/>
      <c r="U89" s="471">
        <v>8</v>
      </c>
      <c r="V89" s="468">
        <f t="shared" si="62"/>
        <v>100</v>
      </c>
      <c r="W89" s="468">
        <f t="shared" si="63"/>
        <v>46.99</v>
      </c>
      <c r="X89" s="468">
        <f t="shared" si="64"/>
        <v>0</v>
      </c>
      <c r="Y89" s="468">
        <f t="shared" si="65"/>
        <v>0</v>
      </c>
      <c r="Z89" s="468">
        <f t="shared" si="66"/>
        <v>699.78</v>
      </c>
      <c r="AA89" s="474"/>
      <c r="AF89" s="200">
        <f t="shared" si="48"/>
        <v>46788.74</v>
      </c>
      <c r="AG89" s="320">
        <f t="shared" si="50"/>
        <v>46788.74</v>
      </c>
      <c r="AH89" s="33" t="str">
        <f t="shared" si="51"/>
        <v>P</v>
      </c>
      <c r="AI89" s="99" t="str">
        <f t="shared" si="49"/>
        <v>GUTO</v>
      </c>
      <c r="AJ89" s="504">
        <v>46309</v>
      </c>
      <c r="AK89" s="502" t="s">
        <v>437</v>
      </c>
      <c r="AL89" s="505">
        <v>479.74</v>
      </c>
      <c r="AM89" s="48"/>
      <c r="AN89" s="5"/>
      <c r="AP89" s="5"/>
      <c r="AW89" s="18"/>
      <c r="AX89" s="18"/>
      <c r="AY89" s="18"/>
      <c r="AZ89" s="18"/>
      <c r="BA89" s="18"/>
      <c r="BB89" s="18"/>
      <c r="BC89" s="18"/>
      <c r="BD89" s="18"/>
      <c r="BF89" s="18"/>
    </row>
    <row r="90" spans="2:59" ht="15" customHeight="1">
      <c r="B90" s="337"/>
      <c r="C90" s="191"/>
      <c r="D90" s="74"/>
      <c r="E90" s="58" t="str">
        <f t="shared" si="56"/>
        <v/>
      </c>
      <c r="F90" s="351"/>
      <c r="G90" s="343" t="str">
        <f t="shared" si="57"/>
        <v/>
      </c>
      <c r="H90" s="344" t="str">
        <f t="shared" si="58"/>
        <v/>
      </c>
      <c r="I90" s="343" t="str">
        <f t="shared" si="61"/>
        <v/>
      </c>
      <c r="J90" s="383"/>
      <c r="K90" s="351"/>
      <c r="L90" s="384" t="str">
        <f t="shared" si="59"/>
        <v/>
      </c>
      <c r="M90" s="465">
        <f>IF(K90="AV",MAX($M$12:M89)+1,0)</f>
        <v>0</v>
      </c>
      <c r="N90" s="458">
        <f>IF(K90="IT",MAX($N$12:N89)+1,0)</f>
        <v>0</v>
      </c>
      <c r="O90" s="458">
        <f>IF(K90="IT2",MAX($O$12:O89)+1,0)</f>
        <v>0</v>
      </c>
      <c r="P90" s="458">
        <f>IF(K90="ITP",MAX($P$12:P89)+1,0)</f>
        <v>0</v>
      </c>
      <c r="Q90" s="458">
        <f>IF(K90="C6",MAX($Q$12:Q89)+1,0)</f>
        <v>0</v>
      </c>
      <c r="R90" s="354"/>
      <c r="S90" s="348" t="str">
        <f t="shared" si="60"/>
        <v/>
      </c>
      <c r="T90" s="308"/>
      <c r="U90" s="471">
        <v>9</v>
      </c>
      <c r="V90" s="468">
        <f t="shared" si="62"/>
        <v>100</v>
      </c>
      <c r="W90" s="468">
        <f t="shared" si="63"/>
        <v>26.99</v>
      </c>
      <c r="X90" s="468">
        <f t="shared" si="64"/>
        <v>0</v>
      </c>
      <c r="Y90" s="468">
        <f t="shared" si="65"/>
        <v>0</v>
      </c>
      <c r="Z90" s="468">
        <f t="shared" si="66"/>
        <v>101</v>
      </c>
      <c r="AA90" s="474"/>
      <c r="AF90" s="200">
        <f t="shared" si="48"/>
        <v>46333.99</v>
      </c>
      <c r="AG90" s="320">
        <f t="shared" si="50"/>
        <v>46333.99</v>
      </c>
      <c r="AH90" s="33" t="str">
        <f t="shared" si="51"/>
        <v>P</v>
      </c>
      <c r="AI90" s="99" t="str">
        <f t="shared" si="49"/>
        <v>SUPER</v>
      </c>
      <c r="AJ90" s="504">
        <v>46307</v>
      </c>
      <c r="AK90" s="502" t="s">
        <v>438</v>
      </c>
      <c r="AL90" s="505">
        <v>26.99</v>
      </c>
      <c r="AM90" s="48"/>
      <c r="AN90" s="5"/>
      <c r="AP90" s="5"/>
      <c r="AW90" s="18"/>
      <c r="AX90" s="18"/>
      <c r="AY90" s="18"/>
      <c r="AZ90" s="18"/>
      <c r="BA90" s="18"/>
      <c r="BB90" s="18"/>
      <c r="BC90" s="18"/>
      <c r="BD90" s="18"/>
      <c r="BF90" s="18"/>
    </row>
    <row r="91" spans="2:59" ht="15" customHeight="1">
      <c r="B91" s="337"/>
      <c r="C91" s="191"/>
      <c r="D91" s="74"/>
      <c r="E91" s="58" t="str">
        <f t="shared" si="56"/>
        <v/>
      </c>
      <c r="F91" s="351"/>
      <c r="G91" s="343" t="str">
        <f t="shared" si="57"/>
        <v/>
      </c>
      <c r="H91" s="344" t="str">
        <f t="shared" si="58"/>
        <v/>
      </c>
      <c r="I91" s="343" t="str">
        <f t="shared" si="61"/>
        <v/>
      </c>
      <c r="J91" s="383"/>
      <c r="K91" s="351"/>
      <c r="L91" s="384" t="str">
        <f t="shared" si="59"/>
        <v/>
      </c>
      <c r="M91" s="465">
        <f>IF(K91="AV",MAX($M$12:M90)+1,0)</f>
        <v>0</v>
      </c>
      <c r="N91" s="458">
        <f>IF(K91="IT",MAX($N$12:N90)+1,0)</f>
        <v>0</v>
      </c>
      <c r="O91" s="458">
        <f>IF(K91="IT2",MAX($O$12:O90)+1,0)</f>
        <v>0</v>
      </c>
      <c r="P91" s="458">
        <f>IF(K91="ITP",MAX($P$12:P90)+1,0)</f>
        <v>0</v>
      </c>
      <c r="Q91" s="458">
        <f>IF(K91="C6",MAX($Q$12:Q90)+1,0)</f>
        <v>0</v>
      </c>
      <c r="R91" s="354"/>
      <c r="S91" s="348" t="str">
        <f t="shared" si="60"/>
        <v/>
      </c>
      <c r="T91" s="308"/>
      <c r="U91" s="471">
        <v>10</v>
      </c>
      <c r="V91" s="468">
        <f t="shared" si="62"/>
        <v>100</v>
      </c>
      <c r="W91" s="468">
        <f t="shared" si="63"/>
        <v>57.89</v>
      </c>
      <c r="X91" s="468">
        <f t="shared" si="64"/>
        <v>0</v>
      </c>
      <c r="Y91" s="468">
        <f t="shared" si="65"/>
        <v>0</v>
      </c>
      <c r="Z91" s="468">
        <f t="shared" si="66"/>
        <v>85.98</v>
      </c>
      <c r="AA91" s="474"/>
      <c r="AF91" s="200">
        <f t="shared" si="48"/>
        <v>46353.99</v>
      </c>
      <c r="AG91" s="320">
        <f t="shared" si="50"/>
        <v>46353.99</v>
      </c>
      <c r="AH91" s="33" t="str">
        <f t="shared" si="51"/>
        <v>P</v>
      </c>
      <c r="AI91" s="99" t="str">
        <f t="shared" si="49"/>
        <v>SUPER</v>
      </c>
      <c r="AJ91" s="504">
        <v>46307</v>
      </c>
      <c r="AK91" s="502" t="s">
        <v>439</v>
      </c>
      <c r="AL91" s="505">
        <v>46.99</v>
      </c>
      <c r="AM91" s="48"/>
      <c r="AN91" s="5"/>
      <c r="AP91" s="5"/>
      <c r="AW91" s="18"/>
      <c r="AX91" s="18"/>
      <c r="AY91" s="18"/>
      <c r="AZ91" s="18"/>
      <c r="BA91" s="18"/>
      <c r="BB91" s="18"/>
      <c r="BC91" s="18"/>
      <c r="BD91" s="18"/>
      <c r="BF91" s="18"/>
    </row>
    <row r="92" spans="2:59" ht="15" customHeight="1">
      <c r="B92" s="337"/>
      <c r="C92" s="191"/>
      <c r="D92" s="74"/>
      <c r="E92" s="58" t="str">
        <f t="shared" si="56"/>
        <v/>
      </c>
      <c r="F92" s="351"/>
      <c r="G92" s="343" t="str">
        <f t="shared" si="57"/>
        <v/>
      </c>
      <c r="H92" s="344" t="str">
        <f t="shared" si="58"/>
        <v/>
      </c>
      <c r="I92" s="343" t="str">
        <f t="shared" si="61"/>
        <v/>
      </c>
      <c r="J92" s="383"/>
      <c r="K92" s="351"/>
      <c r="L92" s="384" t="str">
        <f t="shared" si="59"/>
        <v/>
      </c>
      <c r="M92" s="465">
        <f>IF(K92="AV",MAX($M$12:M91)+1,0)</f>
        <v>0</v>
      </c>
      <c r="N92" s="458">
        <f>IF(K92="IT",MAX($N$12:N91)+1,0)</f>
        <v>0</v>
      </c>
      <c r="O92" s="458">
        <f>IF(K92="IT2",MAX($O$12:O91)+1,0)</f>
        <v>0</v>
      </c>
      <c r="P92" s="458">
        <f>IF(K92="ITP",MAX($P$12:P91)+1,0)</f>
        <v>0</v>
      </c>
      <c r="Q92" s="458">
        <f>IF(K92="C6",MAX($Q$12:Q91)+1,0)</f>
        <v>0</v>
      </c>
      <c r="R92" s="354"/>
      <c r="S92" s="348" t="str">
        <f t="shared" si="60"/>
        <v/>
      </c>
      <c r="T92" s="308"/>
      <c r="U92" s="471">
        <v>11</v>
      </c>
      <c r="V92" s="468">
        <f t="shared" si="62"/>
        <v>11.9</v>
      </c>
      <c r="W92" s="468">
        <f t="shared" si="63"/>
        <v>26</v>
      </c>
      <c r="X92" s="468">
        <f t="shared" si="64"/>
        <v>0</v>
      </c>
      <c r="Y92" s="468">
        <f t="shared" si="65"/>
        <v>0</v>
      </c>
      <c r="Z92" s="468">
        <f t="shared" si="66"/>
        <v>0</v>
      </c>
      <c r="AA92" s="474"/>
      <c r="AF92" s="200">
        <f t="shared" si="48"/>
        <v>46344.89</v>
      </c>
      <c r="AG92" s="320">
        <f t="shared" si="50"/>
        <v>46344.89</v>
      </c>
      <c r="AH92" s="33" t="str">
        <f t="shared" si="51"/>
        <v>P</v>
      </c>
      <c r="AI92" s="99" t="str">
        <f t="shared" si="49"/>
        <v>REF/LANCHE</v>
      </c>
      <c r="AJ92" s="504">
        <v>46307</v>
      </c>
      <c r="AK92" s="502" t="s">
        <v>337</v>
      </c>
      <c r="AL92" s="505">
        <v>37.89</v>
      </c>
      <c r="AM92" s="48"/>
      <c r="AN92" s="5"/>
      <c r="AP92" s="5"/>
      <c r="AW92" s="18"/>
      <c r="AX92" s="18"/>
      <c r="AY92" s="18"/>
      <c r="AZ92" s="18"/>
      <c r="BA92" s="18"/>
      <c r="BB92" s="18"/>
      <c r="BC92" s="18"/>
      <c r="BD92" s="18"/>
      <c r="BF92" s="18"/>
    </row>
    <row r="93" spans="2:59" ht="15" customHeight="1">
      <c r="B93" s="337"/>
      <c r="C93" s="191"/>
      <c r="D93" s="74"/>
      <c r="E93" s="58" t="str">
        <f t="shared" ref="E93:E94" si="75">IF(OR(B93="",F93="Pago"),"",B93)</f>
        <v/>
      </c>
      <c r="F93" s="351"/>
      <c r="G93" s="343" t="str">
        <f t="shared" ref="G93:G95" si="76">IF(B93="","",B93+C93)</f>
        <v/>
      </c>
      <c r="H93" s="344" t="str">
        <f t="shared" si="58"/>
        <v/>
      </c>
      <c r="I93" s="343" t="str">
        <f t="shared" si="61"/>
        <v/>
      </c>
      <c r="J93" s="383"/>
      <c r="K93" s="351"/>
      <c r="L93" s="384" t="str">
        <f t="shared" ref="L93:L94" si="77">IF(K93="AV","8",IF(AND(G93="",H93=""),"",IF(G93=H93,"P",IF(G93&lt;&gt;H93,"O"))))</f>
        <v/>
      </c>
      <c r="M93" s="465">
        <f>IF(K93="AV",MAX($M$12:M92)+1,0)</f>
        <v>0</v>
      </c>
      <c r="N93" s="458">
        <f>IF(K93="IT",MAX($N$12:N92)+1,0)</f>
        <v>0</v>
      </c>
      <c r="O93" s="458">
        <f>IF(K93="IT2",MAX($O$12:O92)+1,0)</f>
        <v>0</v>
      </c>
      <c r="P93" s="458">
        <f>IF(K93="ITP",MAX($P$12:P92)+1,0)</f>
        <v>0</v>
      </c>
      <c r="Q93" s="458">
        <f>IF(K93="C6",MAX($Q$12:Q92)+1,0)</f>
        <v>0</v>
      </c>
      <c r="R93" s="354"/>
      <c r="S93" s="348" t="str">
        <f t="shared" ref="S93:S94" si="78">IF(F93="Pago",B93,"")</f>
        <v/>
      </c>
      <c r="T93" s="308"/>
      <c r="U93" s="471">
        <v>12</v>
      </c>
      <c r="V93" s="468">
        <f t="shared" si="62"/>
        <v>10</v>
      </c>
      <c r="W93" s="468">
        <f t="shared" si="63"/>
        <v>60.6</v>
      </c>
      <c r="X93" s="468">
        <f t="shared" si="64"/>
        <v>0</v>
      </c>
      <c r="Y93" s="468">
        <f t="shared" si="65"/>
        <v>0</v>
      </c>
      <c r="Z93" s="468">
        <f t="shared" si="66"/>
        <v>0</v>
      </c>
      <c r="AA93" s="474"/>
      <c r="AF93" s="200">
        <f t="shared" si="48"/>
        <v>46830.720000000001</v>
      </c>
      <c r="AG93" s="320">
        <f t="shared" si="50"/>
        <v>46830.720000000001</v>
      </c>
      <c r="AH93" s="33" t="str">
        <f t="shared" si="51"/>
        <v>P</v>
      </c>
      <c r="AI93" s="99" t="str">
        <f t="shared" si="49"/>
        <v>SUPER</v>
      </c>
      <c r="AJ93" s="504">
        <v>46307</v>
      </c>
      <c r="AK93" s="502" t="s">
        <v>64</v>
      </c>
      <c r="AL93" s="505">
        <v>523.72</v>
      </c>
      <c r="AM93" s="48"/>
      <c r="AN93" s="5"/>
      <c r="AP93" s="5"/>
      <c r="AW93" s="18"/>
      <c r="AX93" s="18"/>
      <c r="AY93" s="18"/>
      <c r="AZ93" s="18"/>
      <c r="BA93" s="18"/>
      <c r="BB93" s="18"/>
      <c r="BC93" s="18"/>
      <c r="BD93" s="18"/>
      <c r="BF93" s="18"/>
    </row>
    <row r="94" spans="2:59" ht="15" customHeight="1">
      <c r="B94" s="337"/>
      <c r="C94" s="191"/>
      <c r="D94" s="74"/>
      <c r="E94" s="58" t="str">
        <f t="shared" si="75"/>
        <v/>
      </c>
      <c r="F94" s="351"/>
      <c r="G94" s="343" t="str">
        <f t="shared" si="76"/>
        <v/>
      </c>
      <c r="H94" s="344" t="str">
        <f t="shared" si="58"/>
        <v/>
      </c>
      <c r="I94" s="343" t="str">
        <f t="shared" si="61"/>
        <v/>
      </c>
      <c r="J94" s="383"/>
      <c r="K94" s="351"/>
      <c r="L94" s="384" t="str">
        <f t="shared" si="77"/>
        <v/>
      </c>
      <c r="M94" s="465">
        <f>IF(K94="AV",MAX($M$12:M93)+1,0)</f>
        <v>0</v>
      </c>
      <c r="N94" s="458">
        <f>IF(K94="IT",MAX($N$12:N93)+1,0)</f>
        <v>0</v>
      </c>
      <c r="O94" s="458">
        <f>IF(K94="IT2",MAX($O$12:O93)+1,0)</f>
        <v>0</v>
      </c>
      <c r="P94" s="458">
        <f>IF(K94="ITP",MAX($P$12:P93)+1,0)</f>
        <v>0</v>
      </c>
      <c r="Q94" s="458">
        <f>IF(K94="C6",MAX($Q$12:Q93)+1,0)</f>
        <v>0</v>
      </c>
      <c r="R94" s="354"/>
      <c r="S94" s="348" t="str">
        <f t="shared" si="78"/>
        <v/>
      </c>
      <c r="T94" s="308"/>
      <c r="U94" s="471">
        <v>13</v>
      </c>
      <c r="V94" s="468">
        <f t="shared" si="62"/>
        <v>19.899999999999999</v>
      </c>
      <c r="W94" s="468">
        <f t="shared" si="63"/>
        <v>37.89</v>
      </c>
      <c r="X94" s="468">
        <f t="shared" si="64"/>
        <v>0</v>
      </c>
      <c r="Y94" s="468">
        <f t="shared" si="65"/>
        <v>0</v>
      </c>
      <c r="Z94" s="468">
        <f t="shared" si="66"/>
        <v>0</v>
      </c>
      <c r="AA94" s="474"/>
      <c r="AF94" s="200">
        <f t="shared" si="48"/>
        <v>46356.9</v>
      </c>
      <c r="AG94" s="320">
        <f t="shared" si="50"/>
        <v>46356.9</v>
      </c>
      <c r="AH94" s="33" t="str">
        <f t="shared" si="51"/>
        <v>P</v>
      </c>
      <c r="AI94" s="99" t="str">
        <f t="shared" si="49"/>
        <v>SUPER</v>
      </c>
      <c r="AJ94" s="504">
        <v>46307</v>
      </c>
      <c r="AK94" s="502" t="s">
        <v>440</v>
      </c>
      <c r="AL94" s="505">
        <v>49.9</v>
      </c>
      <c r="AM94" s="48"/>
      <c r="AN94" s="57"/>
      <c r="AP94" s="5"/>
      <c r="AW94" s="18"/>
      <c r="AX94" s="18"/>
      <c r="AY94" s="18"/>
      <c r="AZ94" s="18"/>
      <c r="BA94" s="18"/>
      <c r="BB94" s="18"/>
      <c r="BC94" s="18"/>
      <c r="BD94" s="18"/>
      <c r="BF94" s="18"/>
    </row>
    <row r="95" spans="2:59" ht="15" customHeight="1">
      <c r="B95" s="338"/>
      <c r="C95" s="215"/>
      <c r="D95" s="76"/>
      <c r="E95" s="67" t="str">
        <f>IF(OR(B95="",F95="Pago"),"",B95)</f>
        <v/>
      </c>
      <c r="F95" s="356"/>
      <c r="G95" s="345" t="str">
        <f t="shared" si="76"/>
        <v/>
      </c>
      <c r="H95" s="346" t="str">
        <f t="shared" si="58"/>
        <v/>
      </c>
      <c r="I95" s="345" t="str">
        <f t="shared" si="61"/>
        <v/>
      </c>
      <c r="J95" s="358"/>
      <c r="K95" s="356"/>
      <c r="L95" s="359" t="str">
        <f>IF(K95="AV","8",IF(AND(G95="",H95=""),"",IF(G95=H95,"P",IF(G95&lt;&gt;H95,"O"))))</f>
        <v/>
      </c>
      <c r="M95" s="466">
        <f>IF(K95="AV",MAX($M$12:M94)+1,0)</f>
        <v>0</v>
      </c>
      <c r="N95" s="459">
        <f>IF(K95="IT",MAX($N$12:N94)+1,0)</f>
        <v>0</v>
      </c>
      <c r="O95" s="459">
        <f>IF(K95="IT2",MAX($O$12:O94)+1,0)</f>
        <v>0</v>
      </c>
      <c r="P95" s="459">
        <f>IF(K95="ITP",MAX($P$12:P94)+1,0)</f>
        <v>0</v>
      </c>
      <c r="Q95" s="459">
        <f>IF(K95="C6",MAX($Q$12:Q94)+1,0)</f>
        <v>0</v>
      </c>
      <c r="R95" s="364"/>
      <c r="S95" s="349" t="str">
        <f>IF(F95="Pago",B95,"")</f>
        <v/>
      </c>
      <c r="T95" s="308"/>
      <c r="U95" s="471">
        <v>14</v>
      </c>
      <c r="V95" s="468">
        <f t="shared" si="62"/>
        <v>34.9</v>
      </c>
      <c r="W95" s="468">
        <f t="shared" si="63"/>
        <v>38.29</v>
      </c>
      <c r="X95" s="468">
        <f t="shared" si="64"/>
        <v>0</v>
      </c>
      <c r="Y95" s="468">
        <f t="shared" si="65"/>
        <v>0</v>
      </c>
      <c r="Z95" s="468">
        <f t="shared" si="66"/>
        <v>0</v>
      </c>
      <c r="AA95" s="474"/>
      <c r="AF95" s="200">
        <f t="shared" si="48"/>
        <v>46364.89</v>
      </c>
      <c r="AG95" s="320">
        <f t="shared" si="50"/>
        <v>46364.89</v>
      </c>
      <c r="AH95" s="33" t="str">
        <f t="shared" si="51"/>
        <v>P</v>
      </c>
      <c r="AI95" s="99" t="str">
        <f t="shared" si="49"/>
        <v>SUPER</v>
      </c>
      <c r="AJ95" s="504">
        <v>46307</v>
      </c>
      <c r="AK95" s="502" t="s">
        <v>441</v>
      </c>
      <c r="AL95" s="505">
        <v>57.89</v>
      </c>
      <c r="AM95" s="48"/>
      <c r="AN95" s="57"/>
      <c r="AP95" s="5"/>
      <c r="AW95" s="18"/>
      <c r="AX95" s="18"/>
      <c r="AY95" s="18"/>
      <c r="AZ95" s="18"/>
      <c r="BA95" s="18"/>
      <c r="BB95" s="18"/>
      <c r="BC95" s="18"/>
      <c r="BD95" s="18"/>
      <c r="BF95" s="18"/>
    </row>
    <row r="96" spans="2:59" ht="15" customHeight="1">
      <c r="M96" s="13"/>
      <c r="N96" s="13"/>
      <c r="O96" s="13"/>
      <c r="P96" s="13"/>
      <c r="Q96" s="13"/>
      <c r="T96" s="308"/>
      <c r="U96" s="471">
        <v>15</v>
      </c>
      <c r="V96" s="468">
        <f t="shared" si="62"/>
        <v>89.9</v>
      </c>
      <c r="W96" s="468">
        <f t="shared" si="63"/>
        <v>43.86</v>
      </c>
      <c r="X96" s="468">
        <f t="shared" si="64"/>
        <v>0</v>
      </c>
      <c r="Y96" s="468">
        <f t="shared" si="65"/>
        <v>0</v>
      </c>
      <c r="Z96" s="468">
        <f t="shared" si="66"/>
        <v>0</v>
      </c>
      <c r="AA96" s="474"/>
      <c r="AF96" s="200">
        <f t="shared" si="48"/>
        <v>46333</v>
      </c>
      <c r="AG96" s="320">
        <f t="shared" si="50"/>
        <v>46333</v>
      </c>
      <c r="AH96" s="33" t="str">
        <f t="shared" si="51"/>
        <v>P</v>
      </c>
      <c r="AI96" s="99" t="str">
        <f t="shared" si="49"/>
        <v>SUPER</v>
      </c>
      <c r="AJ96" s="504">
        <v>46306</v>
      </c>
      <c r="AK96" s="502" t="s">
        <v>442</v>
      </c>
      <c r="AL96" s="505">
        <v>27</v>
      </c>
      <c r="AM96" s="48"/>
      <c r="AN96" s="5"/>
      <c r="AP96" s="5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6"/>
    </row>
    <row r="97" spans="2:59" ht="15" customHeight="1">
      <c r="B97" s="545" t="s">
        <v>123</v>
      </c>
      <c r="C97" s="546"/>
      <c r="D97" s="547"/>
      <c r="E97" s="551">
        <f>SUM(E99:E103)</f>
        <v>0</v>
      </c>
      <c r="F97" s="552"/>
      <c r="G97" s="322"/>
      <c r="H97" s="220"/>
      <c r="I97" s="342" t="str">
        <f t="shared" si="55"/>
        <v/>
      </c>
      <c r="J97" s="555">
        <f>SUM(S99:S103)</f>
        <v>0</v>
      </c>
      <c r="K97" s="555"/>
      <c r="L97" s="556"/>
      <c r="M97" s="460"/>
      <c r="N97" s="456"/>
      <c r="O97" s="456"/>
      <c r="P97" s="456"/>
      <c r="Q97" s="461"/>
      <c r="R97" s="559">
        <f>SUM(E97,J97)</f>
        <v>0</v>
      </c>
      <c r="S97" s="560"/>
      <c r="T97" s="308"/>
      <c r="U97" s="471">
        <v>16</v>
      </c>
      <c r="V97" s="468">
        <f t="shared" si="62"/>
        <v>150</v>
      </c>
      <c r="W97" s="468">
        <f t="shared" si="63"/>
        <v>24.89</v>
      </c>
      <c r="X97" s="468">
        <f t="shared" si="64"/>
        <v>0</v>
      </c>
      <c r="Y97" s="468">
        <f t="shared" si="65"/>
        <v>0</v>
      </c>
      <c r="Z97" s="468">
        <f t="shared" si="66"/>
        <v>0</v>
      </c>
      <c r="AA97" s="474"/>
      <c r="AF97" s="200">
        <f t="shared" si="48"/>
        <v>46650</v>
      </c>
      <c r="AG97" s="320">
        <f t="shared" si="50"/>
        <v>46650</v>
      </c>
      <c r="AH97" s="33" t="str">
        <f t="shared" si="51"/>
        <v>P</v>
      </c>
      <c r="AI97" s="99" t="str">
        <f t="shared" si="49"/>
        <v>CARRO</v>
      </c>
      <c r="AJ97" s="504">
        <v>46296</v>
      </c>
      <c r="AK97" s="502" t="s">
        <v>443</v>
      </c>
      <c r="AL97" s="505">
        <v>354</v>
      </c>
      <c r="AM97" s="48"/>
      <c r="AN97" s="5"/>
      <c r="AP97" s="5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6"/>
    </row>
    <row r="98" spans="2:59" ht="15" customHeight="1">
      <c r="B98" s="548"/>
      <c r="C98" s="549"/>
      <c r="D98" s="550"/>
      <c r="E98" s="553"/>
      <c r="F98" s="554"/>
      <c r="G98" s="323"/>
      <c r="H98" s="222"/>
      <c r="I98" s="346" t="str">
        <f t="shared" si="55"/>
        <v/>
      </c>
      <c r="J98" s="557"/>
      <c r="K98" s="557"/>
      <c r="L98" s="558"/>
      <c r="M98" s="462"/>
      <c r="N98" s="457"/>
      <c r="O98" s="457"/>
      <c r="P98" s="457"/>
      <c r="Q98" s="463"/>
      <c r="R98" s="561"/>
      <c r="S98" s="562"/>
      <c r="T98" s="308"/>
      <c r="U98" s="471">
        <v>17</v>
      </c>
      <c r="V98" s="468">
        <f t="shared" si="62"/>
        <v>0</v>
      </c>
      <c r="W98" s="468">
        <f t="shared" si="63"/>
        <v>49.6</v>
      </c>
      <c r="X98" s="468">
        <f t="shared" si="64"/>
        <v>0</v>
      </c>
      <c r="Y98" s="468">
        <f t="shared" si="65"/>
        <v>0</v>
      </c>
      <c r="Z98" s="468">
        <f t="shared" si="66"/>
        <v>0</v>
      </c>
      <c r="AA98" s="474"/>
      <c r="AF98" s="200">
        <f t="shared" si="48"/>
        <v>46421</v>
      </c>
      <c r="AG98" s="320">
        <f t="shared" si="50"/>
        <v>46421</v>
      </c>
      <c r="AH98" s="33" t="str">
        <f t="shared" si="51"/>
        <v>P</v>
      </c>
      <c r="AI98" s="99" t="str">
        <f t="shared" si="49"/>
        <v>GUTO</v>
      </c>
      <c r="AJ98" s="504">
        <v>46296</v>
      </c>
      <c r="AK98" s="502" t="s">
        <v>444</v>
      </c>
      <c r="AL98" s="505">
        <v>125</v>
      </c>
      <c r="AM98" s="48"/>
      <c r="AN98" s="5"/>
      <c r="AP98" s="5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6"/>
    </row>
    <row r="99" spans="2:59" ht="15" customHeight="1">
      <c r="B99" s="337"/>
      <c r="C99" s="191"/>
      <c r="D99" s="74"/>
      <c r="E99" s="58" t="str">
        <f t="shared" ref="E99:E100" si="79">IF(OR(B99="",F99="Pago"),"",B99)</f>
        <v/>
      </c>
      <c r="F99" s="351"/>
      <c r="G99" s="343" t="str">
        <f t="shared" ref="G99:G100" si="80">IF(B99="","",B99+C99)</f>
        <v/>
      </c>
      <c r="H99" s="344" t="str">
        <f>IFERROR(VLOOKUP(G99,$AG$5:$AG$174,1,0),"")</f>
        <v/>
      </c>
      <c r="I99" s="343" t="str">
        <f>IF(H99="","","UBER")</f>
        <v/>
      </c>
      <c r="J99" s="383"/>
      <c r="K99" s="351"/>
      <c r="L99" s="384" t="str">
        <f t="shared" ref="L99:L100" si="81">IF(K99="AV","8",IF(AND(G99="",H99=""),"",IF(G99=H99,"P",IF(G99&lt;&gt;H99,"O"))))</f>
        <v/>
      </c>
      <c r="M99" s="465">
        <f>IF(K99="AV",MAX($M$12:M98)+1,0)</f>
        <v>0</v>
      </c>
      <c r="N99" s="458">
        <f>IF(K99="IT",MAX($N$12:N98)+1,0)</f>
        <v>0</v>
      </c>
      <c r="O99" s="458">
        <f>IF(K99="IT2",MAX($O$12:O98)+1,0)</f>
        <v>0</v>
      </c>
      <c r="P99" s="458">
        <f>IF(K99="ITP",MAX($P$12:P98)+1,0)</f>
        <v>0</v>
      </c>
      <c r="Q99" s="458">
        <f>IF(K99="C6",MAX($Q$12:Q98)+1,0)</f>
        <v>0</v>
      </c>
      <c r="R99" s="354"/>
      <c r="S99" s="347" t="str">
        <f>IF(F99="Pago",B99,"")</f>
        <v/>
      </c>
      <c r="T99" s="308"/>
      <c r="U99" s="471">
        <v>18</v>
      </c>
      <c r="V99" s="468">
        <f t="shared" si="62"/>
        <v>0</v>
      </c>
      <c r="W99" s="468">
        <f t="shared" si="63"/>
        <v>39.79</v>
      </c>
      <c r="X99" s="468">
        <f t="shared" si="64"/>
        <v>0</v>
      </c>
      <c r="Y99" s="468">
        <f t="shared" si="65"/>
        <v>0</v>
      </c>
      <c r="Z99" s="468">
        <f t="shared" si="66"/>
        <v>0</v>
      </c>
      <c r="AA99" s="474"/>
      <c r="AF99" s="200">
        <f t="shared" si="48"/>
        <v>46409</v>
      </c>
      <c r="AG99" s="320">
        <f t="shared" si="50"/>
        <v>46409</v>
      </c>
      <c r="AH99" s="33" t="str">
        <f t="shared" si="51"/>
        <v>P</v>
      </c>
      <c r="AI99" s="99" t="str">
        <f t="shared" si="49"/>
        <v>CARRO</v>
      </c>
      <c r="AJ99" s="504">
        <v>46284</v>
      </c>
      <c r="AK99" s="502" t="s">
        <v>445</v>
      </c>
      <c r="AL99" s="505">
        <v>125</v>
      </c>
      <c r="AM99" s="48"/>
      <c r="AN99" s="5"/>
      <c r="AP99" s="5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6"/>
    </row>
    <row r="100" spans="2:59" ht="15" customHeight="1">
      <c r="B100" s="337"/>
      <c r="C100" s="191"/>
      <c r="D100" s="74"/>
      <c r="E100" s="58" t="str">
        <f t="shared" si="79"/>
        <v/>
      </c>
      <c r="F100" s="351"/>
      <c r="G100" s="343" t="str">
        <f t="shared" si="80"/>
        <v/>
      </c>
      <c r="H100" s="344" t="str">
        <f>IFERROR(VLOOKUP(G100,$AG$5:$AG$174,1,0),"")</f>
        <v/>
      </c>
      <c r="I100" s="343" t="str">
        <f t="shared" ref="I100:I103" si="82">IF(H100="","","UBER")</f>
        <v/>
      </c>
      <c r="J100" s="383"/>
      <c r="K100" s="351"/>
      <c r="L100" s="384" t="str">
        <f t="shared" si="81"/>
        <v/>
      </c>
      <c r="M100" s="465">
        <f>IF(K100="AV",MAX($M$12:M99)+1,0)</f>
        <v>0</v>
      </c>
      <c r="N100" s="458">
        <f>IF(K100="IT",MAX($N$12:N99)+1,0)</f>
        <v>0</v>
      </c>
      <c r="O100" s="458">
        <f>IF(K100="IT2",MAX($O$12:O99)+1,0)</f>
        <v>0</v>
      </c>
      <c r="P100" s="458">
        <f>IF(K100="ITP",MAX($P$12:P99)+1,0)</f>
        <v>0</v>
      </c>
      <c r="Q100" s="458">
        <f>IF(K100="C6",MAX($Q$12:Q99)+1,0)</f>
        <v>0</v>
      </c>
      <c r="R100" s="354"/>
      <c r="S100" s="348" t="str">
        <f t="shared" ref="S100:S103" si="83">IF(F100="Pago",B100,"")</f>
        <v/>
      </c>
      <c r="T100" s="308"/>
      <c r="U100" s="471">
        <v>19</v>
      </c>
      <c r="V100" s="468">
        <f t="shared" si="62"/>
        <v>0</v>
      </c>
      <c r="W100" s="468">
        <f t="shared" si="63"/>
        <v>37.39</v>
      </c>
      <c r="X100" s="468">
        <f t="shared" si="64"/>
        <v>0</v>
      </c>
      <c r="Y100" s="468">
        <f t="shared" si="65"/>
        <v>0</v>
      </c>
      <c r="Z100" s="468">
        <f t="shared" si="66"/>
        <v>0</v>
      </c>
      <c r="AA100" s="474"/>
      <c r="AF100" s="200">
        <f t="shared" si="48"/>
        <v>46393.5</v>
      </c>
      <c r="AG100" s="320">
        <f t="shared" si="50"/>
        <v>46393.5</v>
      </c>
      <c r="AH100" s="33" t="str">
        <f t="shared" si="51"/>
        <v>P</v>
      </c>
      <c r="AI100" s="99" t="str">
        <f t="shared" si="49"/>
        <v>CARRO</v>
      </c>
      <c r="AJ100" s="504">
        <v>46281</v>
      </c>
      <c r="AK100" s="502" t="s">
        <v>446</v>
      </c>
      <c r="AL100" s="505">
        <v>112.5</v>
      </c>
      <c r="AM100" s="48"/>
      <c r="AN100" s="5"/>
      <c r="AP100" s="5"/>
      <c r="BE100" s="5"/>
      <c r="BF100" s="5"/>
    </row>
    <row r="101" spans="2:59" ht="15" customHeight="1">
      <c r="B101" s="337"/>
      <c r="C101" s="191"/>
      <c r="D101" s="74"/>
      <c r="E101" s="58" t="str">
        <f t="shared" ref="E101:E103" si="84">IF(OR(B101="",F101="Pago"),"",B101)</f>
        <v/>
      </c>
      <c r="F101" s="351"/>
      <c r="G101" s="343" t="str">
        <f>IF(B101="","",B101+C101)</f>
        <v/>
      </c>
      <c r="H101" s="344" t="str">
        <f>IFERROR(VLOOKUP(G101,$AG$5:$AG$174,1,0),"")</f>
        <v/>
      </c>
      <c r="I101" s="343" t="str">
        <f t="shared" si="82"/>
        <v/>
      </c>
      <c r="J101" s="383"/>
      <c r="K101" s="351"/>
      <c r="L101" s="384" t="str">
        <f>IF(K101="AV","8",IF(AND(G101="",H101=""),"",IF(G101=H101,"P",IF(G101&lt;&gt;H101,"O"))))</f>
        <v/>
      </c>
      <c r="M101" s="465">
        <f>IF(K101="AV",MAX($M$12:M100)+1,0)</f>
        <v>0</v>
      </c>
      <c r="N101" s="458">
        <f>IF(K101="IT",MAX($N$12:N100)+1,0)</f>
        <v>0</v>
      </c>
      <c r="O101" s="458">
        <f>IF(K101="IT2",MAX($O$12:O100)+1,0)</f>
        <v>0</v>
      </c>
      <c r="P101" s="458">
        <f>IF(K101="ITP",MAX($P$12:P100)+1,0)</f>
        <v>0</v>
      </c>
      <c r="Q101" s="458">
        <f>IF(K101="C6",MAX($Q$12:Q100)+1,0)</f>
        <v>0</v>
      </c>
      <c r="R101" s="354"/>
      <c r="S101" s="348" t="str">
        <f t="shared" si="83"/>
        <v/>
      </c>
      <c r="T101" s="308"/>
      <c r="U101" s="471">
        <v>20</v>
      </c>
      <c r="V101" s="468">
        <f t="shared" si="62"/>
        <v>0</v>
      </c>
      <c r="W101" s="468">
        <f t="shared" si="63"/>
        <v>114.35</v>
      </c>
      <c r="X101" s="468">
        <f t="shared" si="64"/>
        <v>0</v>
      </c>
      <c r="Y101" s="468">
        <f t="shared" si="65"/>
        <v>0</v>
      </c>
      <c r="Z101" s="468">
        <f t="shared" si="66"/>
        <v>0</v>
      </c>
      <c r="AA101" s="474"/>
      <c r="AF101" s="200">
        <f t="shared" ref="AF101:AF107" si="85">IFERROR(VLOOKUP(AG101,$G$12:$G$239,1,0),"")</f>
        <v>46362.49</v>
      </c>
      <c r="AG101" s="320">
        <f t="shared" si="50"/>
        <v>46362.49</v>
      </c>
      <c r="AH101" s="33" t="str">
        <f t="shared" si="51"/>
        <v>P</v>
      </c>
      <c r="AI101" s="99" t="str">
        <f t="shared" si="49"/>
        <v>FARMÁCIA</v>
      </c>
      <c r="AJ101" s="504">
        <v>46279</v>
      </c>
      <c r="AK101" s="502" t="s">
        <v>447</v>
      </c>
      <c r="AL101" s="505">
        <v>83.49</v>
      </c>
      <c r="AM101" s="48"/>
      <c r="AN101" s="5"/>
      <c r="AP101" s="5"/>
      <c r="BE101" s="5"/>
      <c r="BF101" s="5"/>
    </row>
    <row r="102" spans="2:59" ht="15" customHeight="1">
      <c r="B102" s="337"/>
      <c r="C102" s="191"/>
      <c r="D102" s="74"/>
      <c r="E102" s="58" t="str">
        <f t="shared" si="84"/>
        <v/>
      </c>
      <c r="F102" s="351"/>
      <c r="G102" s="343" t="str">
        <f>IF(B102="","",B102+C102)</f>
        <v/>
      </c>
      <c r="H102" s="344" t="str">
        <f>IFERROR(VLOOKUP(G102,$AG$5:$AG$174,1,0),"")</f>
        <v/>
      </c>
      <c r="I102" s="343" t="str">
        <f t="shared" si="82"/>
        <v/>
      </c>
      <c r="J102" s="383"/>
      <c r="K102" s="351"/>
      <c r="L102" s="384" t="str">
        <f>IF(K102="AV","8",IF(AND(G102="",H102=""),"",IF(G102=H102,"P",IF(G102&lt;&gt;H102,"O"))))</f>
        <v/>
      </c>
      <c r="M102" s="465">
        <f>IF(K102="AV",MAX($M$12:M101)+1,0)</f>
        <v>0</v>
      </c>
      <c r="N102" s="458">
        <f>IF(K102="IT",MAX($N$12:N101)+1,0)</f>
        <v>0</v>
      </c>
      <c r="O102" s="458">
        <f>IF(K102="IT2",MAX($O$12:O101)+1,0)</f>
        <v>0</v>
      </c>
      <c r="P102" s="458">
        <f>IF(K102="ITP",MAX($P$12:P101)+1,0)</f>
        <v>0</v>
      </c>
      <c r="Q102" s="458">
        <f>IF(K102="C6",MAX($Q$12:Q101)+1,0)</f>
        <v>0</v>
      </c>
      <c r="R102" s="354"/>
      <c r="S102" s="348" t="str">
        <f t="shared" si="83"/>
        <v/>
      </c>
      <c r="T102" s="308"/>
      <c r="U102" s="471">
        <v>21</v>
      </c>
      <c r="V102" s="468">
        <f t="shared" si="62"/>
        <v>0</v>
      </c>
      <c r="W102" s="468">
        <f t="shared" si="63"/>
        <v>53.6</v>
      </c>
      <c r="X102" s="468">
        <f t="shared" si="64"/>
        <v>0</v>
      </c>
      <c r="Y102" s="468">
        <f t="shared" si="65"/>
        <v>0</v>
      </c>
      <c r="Z102" s="468">
        <f t="shared" si="66"/>
        <v>0</v>
      </c>
      <c r="AA102" s="474"/>
      <c r="AF102" s="200">
        <f t="shared" si="85"/>
        <v>46869.15</v>
      </c>
      <c r="AG102" s="320">
        <f t="shared" si="50"/>
        <v>46869.15</v>
      </c>
      <c r="AH102" s="33" t="str">
        <f t="shared" si="51"/>
        <v>P</v>
      </c>
      <c r="AI102" s="99" t="str">
        <f t="shared" si="49"/>
        <v>FLAVIA</v>
      </c>
      <c r="AJ102" s="504">
        <v>46276</v>
      </c>
      <c r="AK102" s="289" t="s">
        <v>448</v>
      </c>
      <c r="AL102" s="505">
        <v>593.15</v>
      </c>
      <c r="AM102" s="48"/>
      <c r="AN102" s="5"/>
      <c r="AP102" s="5"/>
      <c r="BE102" s="5"/>
      <c r="BF102" s="5"/>
    </row>
    <row r="103" spans="2:59" ht="15" customHeight="1">
      <c r="B103" s="338"/>
      <c r="C103" s="215"/>
      <c r="D103" s="76"/>
      <c r="E103" s="67" t="str">
        <f t="shared" si="84"/>
        <v/>
      </c>
      <c r="F103" s="356"/>
      <c r="G103" s="345" t="str">
        <f>IF(B103="","",B103+C103)</f>
        <v/>
      </c>
      <c r="H103" s="345" t="str">
        <f>IFERROR(VLOOKUP(G103,$AG$5:$AG$174,1,0),"")</f>
        <v/>
      </c>
      <c r="I103" s="345" t="str">
        <f t="shared" si="82"/>
        <v/>
      </c>
      <c r="J103" s="358"/>
      <c r="K103" s="356"/>
      <c r="L103" s="359" t="str">
        <f>IF(K103="AV","8",IF(AND(G103="",H103=""),"",IF(G103=H103,"P",IF(G103&lt;&gt;H103,"O"))))</f>
        <v/>
      </c>
      <c r="M103" s="466">
        <f>IF(K103="AV",MAX($M$12:M102)+1,0)</f>
        <v>0</v>
      </c>
      <c r="N103" s="459">
        <f>IF(K103="IT",MAX($N$12:N102)+1,0)</f>
        <v>0</v>
      </c>
      <c r="O103" s="459">
        <f>IF(K103="IT2",MAX($O$12:O102)+1,0)</f>
        <v>0</v>
      </c>
      <c r="P103" s="459">
        <f>IF(K103="ITP",MAX($P$12:P102)+1,0)</f>
        <v>0</v>
      </c>
      <c r="Q103" s="459">
        <f>IF(K103="C6",MAX($Q$12:Q102)+1,0)</f>
        <v>0</v>
      </c>
      <c r="R103" s="364"/>
      <c r="S103" s="349" t="str">
        <f t="shared" si="83"/>
        <v/>
      </c>
      <c r="T103" s="308"/>
      <c r="U103" s="471">
        <v>22</v>
      </c>
      <c r="V103" s="468">
        <f t="shared" si="62"/>
        <v>0</v>
      </c>
      <c r="W103" s="468">
        <f t="shared" si="63"/>
        <v>83.49</v>
      </c>
      <c r="X103" s="468">
        <f t="shared" si="64"/>
        <v>0</v>
      </c>
      <c r="Y103" s="468">
        <f t="shared" si="65"/>
        <v>0</v>
      </c>
      <c r="Z103" s="468">
        <f t="shared" si="66"/>
        <v>0</v>
      </c>
      <c r="AA103" s="474"/>
      <c r="AF103" s="200">
        <f t="shared" si="85"/>
        <v>46351.35</v>
      </c>
      <c r="AG103" s="320">
        <f t="shared" si="50"/>
        <v>46351.35</v>
      </c>
      <c r="AH103" s="33" t="str">
        <f t="shared" si="51"/>
        <v>P</v>
      </c>
      <c r="AI103" s="99" t="str">
        <f t="shared" si="49"/>
        <v>GUTO</v>
      </c>
      <c r="AJ103" s="504">
        <v>46267</v>
      </c>
      <c r="AK103" s="289" t="s">
        <v>449</v>
      </c>
      <c r="AL103" s="505">
        <v>84.35</v>
      </c>
      <c r="AM103" s="48"/>
      <c r="AN103" s="5"/>
      <c r="AP103" s="5"/>
      <c r="BE103" s="5"/>
      <c r="BF103" s="5"/>
    </row>
    <row r="104" spans="2:59" ht="15" customHeight="1">
      <c r="B104" s="308"/>
      <c r="C104" s="308"/>
      <c r="D104" s="308"/>
      <c r="E104" s="308"/>
      <c r="F104" s="308"/>
      <c r="G104" s="308"/>
      <c r="H104" s="308"/>
      <c r="I104" s="308"/>
      <c r="J104" s="308"/>
      <c r="K104" s="308"/>
      <c r="L104" s="308"/>
      <c r="M104" s="308"/>
      <c r="N104" s="308"/>
      <c r="O104" s="308"/>
      <c r="P104" s="308"/>
      <c r="Q104" s="308"/>
      <c r="R104" s="308"/>
      <c r="S104" s="308"/>
      <c r="T104" s="308"/>
      <c r="U104" s="471">
        <v>23</v>
      </c>
      <c r="V104" s="468">
        <f t="shared" si="62"/>
        <v>0</v>
      </c>
      <c r="W104" s="468">
        <f t="shared" si="63"/>
        <v>62.71</v>
      </c>
      <c r="X104" s="468">
        <f t="shared" si="64"/>
        <v>0</v>
      </c>
      <c r="Y104" s="468">
        <f t="shared" si="65"/>
        <v>0</v>
      </c>
      <c r="Z104" s="468">
        <f t="shared" si="66"/>
        <v>0</v>
      </c>
      <c r="AA104" s="474"/>
      <c r="AF104" s="200">
        <f t="shared" si="85"/>
        <v>46508.9</v>
      </c>
      <c r="AG104" s="320">
        <f t="shared" si="50"/>
        <v>46508.9</v>
      </c>
      <c r="AH104" s="33" t="str">
        <f t="shared" si="51"/>
        <v>P</v>
      </c>
      <c r="AI104" s="99" t="str">
        <f t="shared" si="49"/>
        <v>JOÃO</v>
      </c>
      <c r="AJ104" s="504">
        <v>46259</v>
      </c>
      <c r="AK104" s="289" t="s">
        <v>450</v>
      </c>
      <c r="AL104" s="505">
        <v>249.9</v>
      </c>
      <c r="AM104" s="48"/>
      <c r="AN104" s="5"/>
      <c r="AP104" s="5"/>
      <c r="BE104" s="5"/>
      <c r="BF104" s="5"/>
    </row>
    <row r="105" spans="2:59" ht="15" customHeight="1">
      <c r="B105" s="545" t="s">
        <v>126</v>
      </c>
      <c r="C105" s="546"/>
      <c r="D105" s="547"/>
      <c r="E105" s="551">
        <f>SUM(E107:E114)</f>
        <v>226.2</v>
      </c>
      <c r="F105" s="552"/>
      <c r="G105" s="322"/>
      <c r="H105" s="220"/>
      <c r="I105" s="342" t="str">
        <f t="shared" si="55"/>
        <v/>
      </c>
      <c r="J105" s="555">
        <f>SUM(S107:S114)</f>
        <v>0</v>
      </c>
      <c r="K105" s="555"/>
      <c r="L105" s="556"/>
      <c r="M105" s="460"/>
      <c r="N105" s="456"/>
      <c r="O105" s="456"/>
      <c r="P105" s="456"/>
      <c r="Q105" s="461"/>
      <c r="R105" s="559">
        <f>SUM(E105,J105)</f>
        <v>226.2</v>
      </c>
      <c r="S105" s="560"/>
      <c r="T105" s="308"/>
      <c r="U105" s="471">
        <v>24</v>
      </c>
      <c r="V105" s="468">
        <f t="shared" si="62"/>
        <v>0</v>
      </c>
      <c r="W105" s="468">
        <f t="shared" si="63"/>
        <v>80</v>
      </c>
      <c r="X105" s="468">
        <f t="shared" si="64"/>
        <v>0</v>
      </c>
      <c r="Y105" s="468">
        <f t="shared" si="65"/>
        <v>0</v>
      </c>
      <c r="Z105" s="468">
        <f t="shared" si="66"/>
        <v>0</v>
      </c>
      <c r="AA105" s="474"/>
      <c r="AF105" s="200">
        <f t="shared" si="85"/>
        <v>46326.58</v>
      </c>
      <c r="AG105" s="320">
        <f t="shared" si="50"/>
        <v>46326.58</v>
      </c>
      <c r="AH105" s="33" t="str">
        <f t="shared" si="51"/>
        <v>P</v>
      </c>
      <c r="AI105" s="99" t="str">
        <f t="shared" si="49"/>
        <v>GUTO</v>
      </c>
      <c r="AJ105" s="504">
        <v>46251</v>
      </c>
      <c r="AK105" s="502" t="s">
        <v>451</v>
      </c>
      <c r="AL105" s="505">
        <v>75.58</v>
      </c>
      <c r="AM105" s="48"/>
      <c r="AN105" s="5"/>
      <c r="AP105" s="5"/>
      <c r="BE105" s="5"/>
      <c r="BF105" s="5"/>
    </row>
    <row r="106" spans="2:59" ht="15" customHeight="1">
      <c r="B106" s="548"/>
      <c r="C106" s="549"/>
      <c r="D106" s="550"/>
      <c r="E106" s="553"/>
      <c r="F106" s="554"/>
      <c r="G106" s="323"/>
      <c r="H106" s="222"/>
      <c r="I106" s="346" t="str">
        <f t="shared" si="55"/>
        <v/>
      </c>
      <c r="J106" s="557"/>
      <c r="K106" s="557"/>
      <c r="L106" s="558"/>
      <c r="M106" s="462"/>
      <c r="N106" s="457"/>
      <c r="O106" s="457"/>
      <c r="P106" s="457"/>
      <c r="Q106" s="463"/>
      <c r="R106" s="561"/>
      <c r="S106" s="562"/>
      <c r="T106" s="308"/>
      <c r="U106" s="471">
        <v>25</v>
      </c>
      <c r="V106" s="468">
        <f t="shared" si="62"/>
        <v>0</v>
      </c>
      <c r="W106" s="468">
        <f t="shared" si="63"/>
        <v>50</v>
      </c>
      <c r="X106" s="468">
        <f t="shared" si="64"/>
        <v>0</v>
      </c>
      <c r="Y106" s="468">
        <f t="shared" si="65"/>
        <v>0</v>
      </c>
      <c r="Z106" s="468">
        <f t="shared" si="66"/>
        <v>0</v>
      </c>
      <c r="AA106" s="474"/>
      <c r="AF106" s="200">
        <f t="shared" si="85"/>
        <v>46340.85</v>
      </c>
      <c r="AG106" s="320">
        <f t="shared" si="50"/>
        <v>46340.85</v>
      </c>
      <c r="AH106" s="33" t="str">
        <f t="shared" si="51"/>
        <v>P</v>
      </c>
      <c r="AI106" s="99" t="str">
        <f t="shared" si="49"/>
        <v>JOÃO</v>
      </c>
      <c r="AJ106" s="504">
        <v>46198</v>
      </c>
      <c r="AK106" s="502" t="s">
        <v>452</v>
      </c>
      <c r="AL106" s="505">
        <v>142.85</v>
      </c>
      <c r="AM106" s="48"/>
      <c r="AN106" s="5"/>
      <c r="AP106" s="5"/>
      <c r="BE106" s="5"/>
      <c r="BF106" s="5"/>
    </row>
    <row r="107" spans="2:59" ht="15" customHeight="1">
      <c r="B107" s="337">
        <v>83.49</v>
      </c>
      <c r="C107" s="191">
        <v>46279</v>
      </c>
      <c r="D107" s="74" t="s">
        <v>264</v>
      </c>
      <c r="E107" s="58">
        <f>IF(OR(B107="",F107="Pago"),"",B107)</f>
        <v>83.49</v>
      </c>
      <c r="F107" s="351" t="s">
        <v>135</v>
      </c>
      <c r="G107" s="343">
        <f t="shared" ref="G107:G114" si="86">IF(B107="","",B107+C107)</f>
        <v>46362.49</v>
      </c>
      <c r="H107" s="344">
        <f t="shared" ref="H107:H114" si="87">IFERROR(VLOOKUP(G107,$AG$5:$AG$174,1,0),"")</f>
        <v>46362.49</v>
      </c>
      <c r="I107" s="343" t="str">
        <f>IF(H107="","","FARMÁCIA")</f>
        <v>FARMÁCIA</v>
      </c>
      <c r="J107" s="383" t="s">
        <v>89</v>
      </c>
      <c r="K107" s="385" t="s">
        <v>90</v>
      </c>
      <c r="L107" s="384" t="str">
        <f t="shared" ref="L107:L114" si="88">IF(K107="AV","8",IF(AND(G107="",H107=""),"",IF(G107=H107,"P",IF(G107&lt;&gt;H107,"O"))))</f>
        <v>P</v>
      </c>
      <c r="M107" s="465">
        <f>IF(K107="AV",MAX($M$12:M106)+1,0)</f>
        <v>0</v>
      </c>
      <c r="N107" s="458">
        <f>IF(K107="IT",MAX($N$12:N106)+1,0)</f>
        <v>22</v>
      </c>
      <c r="O107" s="458">
        <f>IF(K107="IT2",MAX($O$12:O106)+1,0)</f>
        <v>0</v>
      </c>
      <c r="P107" s="458">
        <f>IF(K107="ITP",MAX($P$12:P106)+1,0)</f>
        <v>0</v>
      </c>
      <c r="Q107" s="458">
        <f>IF(K107="C6",MAX($Q$12:Q106)+1,0)</f>
        <v>0</v>
      </c>
      <c r="R107" s="354" t="s">
        <v>239</v>
      </c>
      <c r="S107" s="347" t="str">
        <f>IF(F107="Pago",B107,"")</f>
        <v/>
      </c>
      <c r="T107" s="308"/>
      <c r="U107" s="471">
        <v>26</v>
      </c>
      <c r="V107" s="468">
        <f t="shared" si="62"/>
        <v>0</v>
      </c>
      <c r="W107" s="468">
        <f t="shared" si="63"/>
        <v>112.5</v>
      </c>
      <c r="X107" s="468">
        <f t="shared" si="64"/>
        <v>0</v>
      </c>
      <c r="Y107" s="468">
        <f t="shared" si="65"/>
        <v>0</v>
      </c>
      <c r="Z107" s="468">
        <f t="shared" si="66"/>
        <v>0</v>
      </c>
      <c r="AA107" s="474"/>
      <c r="AF107" s="201">
        <f t="shared" si="85"/>
        <v>46380</v>
      </c>
      <c r="AG107" s="321">
        <f t="shared" si="50"/>
        <v>46380</v>
      </c>
      <c r="AH107" s="115" t="str">
        <f t="shared" si="51"/>
        <v>P</v>
      </c>
      <c r="AI107" s="99" t="str">
        <f t="shared" si="49"/>
        <v>GUTO</v>
      </c>
      <c r="AJ107" s="504">
        <v>46190</v>
      </c>
      <c r="AK107" s="502" t="s">
        <v>453</v>
      </c>
      <c r="AL107" s="505">
        <v>190</v>
      </c>
      <c r="AM107" s="48"/>
      <c r="AN107" s="5"/>
      <c r="AP107" s="5"/>
      <c r="BE107" s="5"/>
      <c r="BF107" s="5"/>
    </row>
    <row r="108" spans="2:59" ht="15" customHeight="1">
      <c r="B108" s="337">
        <v>62.71</v>
      </c>
      <c r="C108" s="191">
        <v>46315</v>
      </c>
      <c r="D108" s="74" t="s">
        <v>24</v>
      </c>
      <c r="E108" s="58">
        <f t="shared" ref="E108:E114" si="89">IF(OR(B108="",F108="Pago"),"",B108)</f>
        <v>62.71</v>
      </c>
      <c r="F108" s="351" t="s">
        <v>135</v>
      </c>
      <c r="G108" s="343">
        <f t="shared" ref="G108:G109" si="90">IF(B108="","",B108+C108)</f>
        <v>46377.71</v>
      </c>
      <c r="H108" s="344">
        <f t="shared" si="87"/>
        <v>46377.71</v>
      </c>
      <c r="I108" s="343" t="str">
        <f t="shared" ref="I108:I109" si="91">IF(H108="","","FARMÁCIA")</f>
        <v>FARMÁCIA</v>
      </c>
      <c r="J108" s="383" t="s">
        <v>89</v>
      </c>
      <c r="K108" s="351" t="s">
        <v>90</v>
      </c>
      <c r="L108" s="384" t="str">
        <f t="shared" si="88"/>
        <v>P</v>
      </c>
      <c r="M108" s="465">
        <f>IF(K108="AV",MAX($M$12:M107)+1,0)</f>
        <v>0</v>
      </c>
      <c r="N108" s="458">
        <f>IF(K108="IT",MAX($N$12:N107)+1,0)</f>
        <v>23</v>
      </c>
      <c r="O108" s="458">
        <f>IF(K108="IT2",MAX($O$12:O107)+1,0)</f>
        <v>0</v>
      </c>
      <c r="P108" s="458">
        <f>IF(K108="ITP",MAX($P$12:P107)+1,0)</f>
        <v>0</v>
      </c>
      <c r="Q108" s="458">
        <f>IF(K108="C6",MAX($Q$12:Q107)+1,0)</f>
        <v>0</v>
      </c>
      <c r="R108" s="354" t="s">
        <v>279</v>
      </c>
      <c r="S108" s="348" t="str">
        <f t="shared" ref="S108:S114" si="92">IF(F108="Pago",B108,"")</f>
        <v/>
      </c>
      <c r="T108" s="308"/>
      <c r="U108" s="471">
        <v>27</v>
      </c>
      <c r="V108" s="468">
        <f t="shared" si="62"/>
        <v>0</v>
      </c>
      <c r="W108" s="468">
        <f t="shared" si="63"/>
        <v>125</v>
      </c>
      <c r="X108" s="468">
        <f t="shared" si="64"/>
        <v>0</v>
      </c>
      <c r="Y108" s="468">
        <f t="shared" si="65"/>
        <v>0</v>
      </c>
      <c r="Z108" s="468">
        <f t="shared" si="66"/>
        <v>0</v>
      </c>
      <c r="AA108" s="474"/>
      <c r="AF108" s="308"/>
      <c r="AG108" s="308"/>
      <c r="AH108" s="308"/>
      <c r="AI108" s="339"/>
      <c r="AJ108" s="565">
        <f>SUM(AL5:AL107)</f>
        <v>4698.33</v>
      </c>
      <c r="AK108" s="566"/>
      <c r="AL108" s="567"/>
      <c r="AM108" s="112"/>
      <c r="AP108" s="5"/>
      <c r="AW108" s="18"/>
      <c r="AX108" s="18"/>
      <c r="AY108" s="18"/>
      <c r="AZ108" s="18"/>
      <c r="BA108" s="18"/>
      <c r="BB108" s="18"/>
      <c r="BC108" s="18"/>
      <c r="BD108" s="3"/>
      <c r="BE108" s="5"/>
      <c r="BF108" s="5"/>
    </row>
    <row r="109" spans="2:59" ht="15" customHeight="1">
      <c r="B109" s="337">
        <v>80</v>
      </c>
      <c r="C109" s="191">
        <v>46315</v>
      </c>
      <c r="D109" s="74" t="s">
        <v>24</v>
      </c>
      <c r="E109" s="58">
        <f t="shared" si="89"/>
        <v>80</v>
      </c>
      <c r="F109" s="351" t="s">
        <v>135</v>
      </c>
      <c r="G109" s="343">
        <f t="shared" si="90"/>
        <v>46395</v>
      </c>
      <c r="H109" s="344">
        <f t="shared" si="87"/>
        <v>46395</v>
      </c>
      <c r="I109" s="343" t="str">
        <f t="shared" si="91"/>
        <v>FARMÁCIA</v>
      </c>
      <c r="J109" s="383" t="s">
        <v>89</v>
      </c>
      <c r="K109" s="351" t="s">
        <v>90</v>
      </c>
      <c r="L109" s="384" t="str">
        <f t="shared" si="88"/>
        <v>P</v>
      </c>
      <c r="M109" s="465">
        <f>IF(K109="AV",MAX($M$12:M108)+1,0)</f>
        <v>0</v>
      </c>
      <c r="N109" s="458">
        <f>IF(K109="IT",MAX($N$12:N108)+1,0)</f>
        <v>24</v>
      </c>
      <c r="O109" s="458">
        <f>IF(K109="IT2",MAX($O$12:O108)+1,0)</f>
        <v>0</v>
      </c>
      <c r="P109" s="458">
        <f>IF(K109="ITP",MAX($P$12:P108)+1,0)</f>
        <v>0</v>
      </c>
      <c r="Q109" s="458">
        <f>IF(K109="C6",MAX($Q$12:Q108)+1,0)</f>
        <v>0</v>
      </c>
      <c r="R109" s="354" t="s">
        <v>265</v>
      </c>
      <c r="S109" s="348" t="str">
        <f t="shared" si="92"/>
        <v/>
      </c>
      <c r="T109" s="308"/>
      <c r="U109" s="471">
        <v>28</v>
      </c>
      <c r="V109" s="468">
        <f t="shared" si="62"/>
        <v>0</v>
      </c>
      <c r="W109" s="468">
        <f t="shared" si="63"/>
        <v>100</v>
      </c>
      <c r="X109" s="468">
        <f t="shared" si="64"/>
        <v>0</v>
      </c>
      <c r="Y109" s="468">
        <f t="shared" si="65"/>
        <v>0</v>
      </c>
      <c r="Z109" s="468">
        <f t="shared" si="66"/>
        <v>0</v>
      </c>
      <c r="AA109" s="474"/>
      <c r="AF109" s="308"/>
      <c r="AG109" s="308"/>
      <c r="AH109" s="308"/>
      <c r="AI109" s="340"/>
      <c r="AJ109" s="565"/>
      <c r="AK109" s="566"/>
      <c r="AL109" s="567"/>
      <c r="AM109" s="113"/>
      <c r="AP109" s="5"/>
    </row>
    <row r="110" spans="2:59" ht="15" customHeight="1">
      <c r="B110" s="337"/>
      <c r="C110" s="191"/>
      <c r="D110" s="74"/>
      <c r="E110" s="58" t="str">
        <f t="shared" si="89"/>
        <v/>
      </c>
      <c r="F110" s="351"/>
      <c r="G110" s="343" t="str">
        <f t="shared" si="86"/>
        <v/>
      </c>
      <c r="H110" s="344" t="str">
        <f t="shared" si="87"/>
        <v/>
      </c>
      <c r="I110" s="343" t="str">
        <f t="shared" ref="I110:I114" si="93">IF(H110="","","FARMÁCIA")</f>
        <v/>
      </c>
      <c r="J110" s="383"/>
      <c r="K110" s="351"/>
      <c r="L110" s="384" t="str">
        <f t="shared" si="88"/>
        <v/>
      </c>
      <c r="M110" s="465">
        <f>IF(K110="AV",MAX($M$12:M109)+1,0)</f>
        <v>0</v>
      </c>
      <c r="N110" s="458">
        <f>IF(K110="IT",MAX($N$12:N109)+1,0)</f>
        <v>0</v>
      </c>
      <c r="O110" s="458">
        <f>IF(K110="IT2",MAX($O$12:O109)+1,0)</f>
        <v>0</v>
      </c>
      <c r="P110" s="458">
        <f>IF(K110="ITP",MAX($P$12:P109)+1,0)</f>
        <v>0</v>
      </c>
      <c r="Q110" s="458">
        <f>IF(K110="C6",MAX($Q$12:Q109)+1,0)</f>
        <v>0</v>
      </c>
      <c r="R110" s="354"/>
      <c r="S110" s="348" t="str">
        <f t="shared" si="92"/>
        <v/>
      </c>
      <c r="T110" s="308"/>
      <c r="U110" s="471">
        <v>29</v>
      </c>
      <c r="V110" s="468">
        <f t="shared" si="62"/>
        <v>0</v>
      </c>
      <c r="W110" s="468">
        <f t="shared" si="63"/>
        <v>354</v>
      </c>
      <c r="X110" s="468">
        <f t="shared" si="64"/>
        <v>0</v>
      </c>
      <c r="Y110" s="468">
        <f t="shared" si="65"/>
        <v>0</v>
      </c>
      <c r="Z110" s="468">
        <f t="shared" si="66"/>
        <v>0</v>
      </c>
      <c r="AA110" s="474"/>
      <c r="AF110" s="199" t="str">
        <f t="shared" ref="AF110:AF129" si="94">IFERROR(VLOOKUP(AG110,$G$12:$G$239,1,0),"")</f>
        <v/>
      </c>
      <c r="AG110" s="319" t="str">
        <f t="shared" si="50"/>
        <v/>
      </c>
      <c r="AH110" s="114" t="str">
        <f t="shared" si="51"/>
        <v/>
      </c>
      <c r="AI110" s="99" t="str">
        <f t="shared" ref="AI110:AI129" si="95">IF(AG110="","",IFERROR(VLOOKUP(AG110,$H$12:$I$239,2,0),""))</f>
        <v/>
      </c>
      <c r="AJ110" s="121"/>
      <c r="AK110" s="42"/>
      <c r="AL110" s="163"/>
      <c r="AM110" s="568" t="s">
        <v>95</v>
      </c>
      <c r="AP110" s="5"/>
    </row>
    <row r="111" spans="2:59" ht="15" customHeight="1">
      <c r="B111" s="337"/>
      <c r="C111" s="191"/>
      <c r="D111" s="74"/>
      <c r="E111" s="58" t="str">
        <f t="shared" si="89"/>
        <v/>
      </c>
      <c r="F111" s="351"/>
      <c r="G111" s="343" t="str">
        <f t="shared" si="86"/>
        <v/>
      </c>
      <c r="H111" s="344" t="str">
        <f t="shared" si="87"/>
        <v/>
      </c>
      <c r="I111" s="343" t="str">
        <f t="shared" si="93"/>
        <v/>
      </c>
      <c r="J111" s="383"/>
      <c r="K111" s="351"/>
      <c r="L111" s="384" t="str">
        <f t="shared" si="88"/>
        <v/>
      </c>
      <c r="M111" s="465">
        <f>IF(K111="AV",MAX($M$12:M110)+1,0)</f>
        <v>0</v>
      </c>
      <c r="N111" s="458">
        <f>IF(K111="IT",MAX($N$12:N110)+1,0)</f>
        <v>0</v>
      </c>
      <c r="O111" s="458">
        <f>IF(K111="IT2",MAX($O$12:O110)+1,0)</f>
        <v>0</v>
      </c>
      <c r="P111" s="458">
        <f>IF(K111="ITP",MAX($P$12:P110)+1,0)</f>
        <v>0</v>
      </c>
      <c r="Q111" s="458">
        <f>IF(K111="C6",MAX($Q$12:Q110)+1,0)</f>
        <v>0</v>
      </c>
      <c r="R111" s="354"/>
      <c r="S111" s="348" t="str">
        <f t="shared" si="92"/>
        <v/>
      </c>
      <c r="T111" s="308"/>
      <c r="U111" s="471">
        <v>30</v>
      </c>
      <c r="V111" s="468">
        <f t="shared" si="62"/>
        <v>0</v>
      </c>
      <c r="W111" s="468">
        <f t="shared" si="63"/>
        <v>142.85</v>
      </c>
      <c r="X111" s="468">
        <f t="shared" si="64"/>
        <v>0</v>
      </c>
      <c r="Y111" s="468">
        <f t="shared" si="65"/>
        <v>0</v>
      </c>
      <c r="Z111" s="468">
        <f t="shared" si="66"/>
        <v>0</v>
      </c>
      <c r="AA111" s="474"/>
      <c r="AF111" s="200" t="str">
        <f t="shared" si="94"/>
        <v/>
      </c>
      <c r="AG111" s="320" t="str">
        <f t="shared" si="50"/>
        <v/>
      </c>
      <c r="AH111" s="33" t="str">
        <f t="shared" si="51"/>
        <v/>
      </c>
      <c r="AI111" s="99" t="str">
        <f t="shared" si="95"/>
        <v/>
      </c>
      <c r="AJ111" s="121"/>
      <c r="AK111" s="42"/>
      <c r="AL111" s="163"/>
      <c r="AM111" s="569"/>
      <c r="AP111" s="5"/>
    </row>
    <row r="112" spans="2:59" ht="15" customHeight="1">
      <c r="B112" s="337"/>
      <c r="C112" s="191"/>
      <c r="D112" s="74"/>
      <c r="E112" s="58" t="str">
        <f t="shared" si="89"/>
        <v/>
      </c>
      <c r="F112" s="351"/>
      <c r="G112" s="343" t="str">
        <f t="shared" si="86"/>
        <v/>
      </c>
      <c r="H112" s="344" t="str">
        <f t="shared" si="87"/>
        <v/>
      </c>
      <c r="I112" s="343" t="str">
        <f t="shared" si="93"/>
        <v/>
      </c>
      <c r="J112" s="383"/>
      <c r="K112" s="351"/>
      <c r="L112" s="384" t="str">
        <f t="shared" si="88"/>
        <v/>
      </c>
      <c r="M112" s="465">
        <f>IF(K112="AV",MAX($M$12:M111)+1,0)</f>
        <v>0</v>
      </c>
      <c r="N112" s="458">
        <f>IF(K112="IT",MAX($N$12:N111)+1,0)</f>
        <v>0</v>
      </c>
      <c r="O112" s="458">
        <f>IF(K112="IT2",MAX($O$12:O111)+1,0)</f>
        <v>0</v>
      </c>
      <c r="P112" s="458">
        <f>IF(K112="ITP",MAX($P$12:P111)+1,0)</f>
        <v>0</v>
      </c>
      <c r="Q112" s="458">
        <f>IF(K112="C6",MAX($Q$12:Q111)+1,0)</f>
        <v>0</v>
      </c>
      <c r="R112" s="354"/>
      <c r="S112" s="348" t="str">
        <f t="shared" si="92"/>
        <v/>
      </c>
      <c r="T112" s="308"/>
      <c r="U112" s="471">
        <v>31</v>
      </c>
      <c r="V112" s="468">
        <f t="shared" si="62"/>
        <v>0</v>
      </c>
      <c r="W112" s="468">
        <f t="shared" si="63"/>
        <v>249.9</v>
      </c>
      <c r="X112" s="468">
        <f t="shared" si="64"/>
        <v>0</v>
      </c>
      <c r="Y112" s="468">
        <f t="shared" si="65"/>
        <v>0</v>
      </c>
      <c r="Z112" s="468">
        <f t="shared" si="66"/>
        <v>0</v>
      </c>
      <c r="AA112" s="474"/>
      <c r="AF112" s="200" t="str">
        <f t="shared" si="94"/>
        <v/>
      </c>
      <c r="AG112" s="320" t="str">
        <f t="shared" si="50"/>
        <v/>
      </c>
      <c r="AH112" s="33" t="str">
        <f t="shared" si="51"/>
        <v/>
      </c>
      <c r="AI112" s="99" t="str">
        <f t="shared" si="95"/>
        <v/>
      </c>
      <c r="AJ112" s="121"/>
      <c r="AK112" s="42"/>
      <c r="AL112" s="163"/>
      <c r="AM112" s="569"/>
      <c r="AP112" s="5"/>
    </row>
    <row r="113" spans="2:42" ht="15" customHeight="1">
      <c r="B113" s="337"/>
      <c r="C113" s="191"/>
      <c r="D113" s="74"/>
      <c r="E113" s="58" t="str">
        <f t="shared" si="89"/>
        <v/>
      </c>
      <c r="F113" s="351"/>
      <c r="G113" s="343" t="str">
        <f t="shared" si="86"/>
        <v/>
      </c>
      <c r="H113" s="344" t="str">
        <f t="shared" si="87"/>
        <v/>
      </c>
      <c r="I113" s="343" t="str">
        <f t="shared" si="93"/>
        <v/>
      </c>
      <c r="J113" s="383"/>
      <c r="K113" s="351"/>
      <c r="L113" s="384" t="str">
        <f t="shared" si="88"/>
        <v/>
      </c>
      <c r="M113" s="465">
        <f>IF(K113="AV",MAX($M$12:M112)+1,0)</f>
        <v>0</v>
      </c>
      <c r="N113" s="458">
        <f>IF(K113="IT",MAX($N$12:N112)+1,0)</f>
        <v>0</v>
      </c>
      <c r="O113" s="458">
        <f>IF(K113="IT2",MAX($O$12:O112)+1,0)</f>
        <v>0</v>
      </c>
      <c r="P113" s="458">
        <f>IF(K113="ITP",MAX($P$12:P112)+1,0)</f>
        <v>0</v>
      </c>
      <c r="Q113" s="458">
        <f>IF(K113="C6",MAX($Q$12:Q112)+1,0)</f>
        <v>0</v>
      </c>
      <c r="R113" s="355"/>
      <c r="S113" s="348" t="str">
        <f t="shared" si="92"/>
        <v/>
      </c>
      <c r="T113" s="308"/>
      <c r="U113" s="471">
        <v>32</v>
      </c>
      <c r="V113" s="468">
        <f t="shared" si="62"/>
        <v>0</v>
      </c>
      <c r="W113" s="468">
        <f t="shared" si="63"/>
        <v>25.2</v>
      </c>
      <c r="X113" s="468">
        <f t="shared" si="64"/>
        <v>0</v>
      </c>
      <c r="Y113" s="468">
        <f t="shared" si="65"/>
        <v>0</v>
      </c>
      <c r="Z113" s="468">
        <f t="shared" si="66"/>
        <v>0</v>
      </c>
      <c r="AA113" s="474"/>
      <c r="AF113" s="200" t="str">
        <f t="shared" si="94"/>
        <v/>
      </c>
      <c r="AG113" s="320" t="str">
        <f t="shared" si="50"/>
        <v/>
      </c>
      <c r="AH113" s="33" t="str">
        <f t="shared" si="51"/>
        <v/>
      </c>
      <c r="AI113" s="99" t="str">
        <f t="shared" si="95"/>
        <v/>
      </c>
      <c r="AJ113" s="121"/>
      <c r="AK113" s="42"/>
      <c r="AL113" s="163"/>
      <c r="AM113" s="48"/>
      <c r="AP113" s="5"/>
    </row>
    <row r="114" spans="2:42" ht="15" customHeight="1">
      <c r="B114" s="338"/>
      <c r="C114" s="215"/>
      <c r="D114" s="76"/>
      <c r="E114" s="67" t="str">
        <f t="shared" si="89"/>
        <v/>
      </c>
      <c r="F114" s="356"/>
      <c r="G114" s="345" t="str">
        <f t="shared" si="86"/>
        <v/>
      </c>
      <c r="H114" s="346" t="str">
        <f t="shared" si="87"/>
        <v/>
      </c>
      <c r="I114" s="345" t="str">
        <f t="shared" si="93"/>
        <v/>
      </c>
      <c r="J114" s="358"/>
      <c r="K114" s="356"/>
      <c r="L114" s="359" t="str">
        <f t="shared" si="88"/>
        <v/>
      </c>
      <c r="M114" s="466">
        <f>IF(K114="AV",MAX($M$12:M113)+1,0)</f>
        <v>0</v>
      </c>
      <c r="N114" s="459">
        <f>IF(K114="IT",MAX($N$12:N113)+1,0)</f>
        <v>0</v>
      </c>
      <c r="O114" s="459">
        <f>IF(K114="IT2",MAX($O$12:O113)+1,0)</f>
        <v>0</v>
      </c>
      <c r="P114" s="459">
        <f>IF(K114="ITP",MAX($P$12:P113)+1,0)</f>
        <v>0</v>
      </c>
      <c r="Q114" s="459">
        <f>IF(K114="C6",MAX($Q$12:Q113)+1,0)</f>
        <v>0</v>
      </c>
      <c r="R114" s="363"/>
      <c r="S114" s="349" t="str">
        <f t="shared" si="92"/>
        <v/>
      </c>
      <c r="T114" s="308"/>
      <c r="U114" s="471">
        <v>33</v>
      </c>
      <c r="V114" s="468">
        <f t="shared" ref="V114:V145" si="96">IF(COUNTIF($M$12:$M$239,U114)=0,0,INDEX($B$12:$B$239,MATCH(U114,$M$12:$M$239,0)))</f>
        <v>0</v>
      </c>
      <c r="W114" s="468">
        <f t="shared" ref="W114:W145" si="97">IF(COUNTIF($N$12:$N$239,U114)=0,0,INDEX($B$12:$B$239,MATCH(U114,$N$12:$N$239,0)))</f>
        <v>113.06</v>
      </c>
      <c r="X114" s="468">
        <f t="shared" ref="X114:X145" si="98">IF(COUNTIF($O$12:$O$239,U114)=0,0,INDEX($B$12:$B$239,MATCH(U114,$O$12:$O$239,0)))</f>
        <v>0</v>
      </c>
      <c r="Y114" s="468">
        <f t="shared" ref="Y114:Y145" si="99">IF(COUNTIF($P$12:$P$239,U114)=0,0,INDEX($B$12:$B$239,MATCH(U114,$P$12:$P$239,0)))</f>
        <v>0</v>
      </c>
      <c r="Z114" s="468">
        <f t="shared" ref="Z114:Z145" si="100">IF(COUNTIF($Q$12:$Q$239,U114)=0,0,INDEX($B$12:$B$239,MATCH(U114,$Q$12:$Q$239,0)))</f>
        <v>0</v>
      </c>
      <c r="AA114" s="474"/>
      <c r="AF114" s="200" t="str">
        <f t="shared" si="94"/>
        <v/>
      </c>
      <c r="AG114" s="320" t="str">
        <f t="shared" si="50"/>
        <v/>
      </c>
      <c r="AH114" s="33" t="str">
        <f t="shared" si="51"/>
        <v/>
      </c>
      <c r="AI114" s="99" t="str">
        <f t="shared" si="95"/>
        <v/>
      </c>
      <c r="AJ114" s="121"/>
      <c r="AK114" s="42"/>
      <c r="AL114" s="163"/>
      <c r="AM114" s="48"/>
      <c r="AP114" s="5"/>
    </row>
    <row r="115" spans="2:42" ht="15" customHeight="1">
      <c r="B115" s="308"/>
      <c r="C115" s="308"/>
      <c r="D115" s="308"/>
      <c r="E115" s="308"/>
      <c r="F115" s="308"/>
      <c r="G115" s="308"/>
      <c r="H115" s="308"/>
      <c r="I115" s="308"/>
      <c r="J115" s="308"/>
      <c r="K115" s="308"/>
      <c r="L115" s="308"/>
      <c r="M115" s="308"/>
      <c r="N115" s="308"/>
      <c r="O115" s="308"/>
      <c r="P115" s="308"/>
      <c r="Q115" s="308"/>
      <c r="R115" s="308"/>
      <c r="S115" s="308"/>
      <c r="T115" s="308"/>
      <c r="U115" s="471">
        <v>34</v>
      </c>
      <c r="V115" s="468">
        <f t="shared" si="96"/>
        <v>0</v>
      </c>
      <c r="W115" s="468">
        <f t="shared" si="97"/>
        <v>17</v>
      </c>
      <c r="X115" s="468">
        <f t="shared" si="98"/>
        <v>0</v>
      </c>
      <c r="Y115" s="468">
        <f t="shared" si="99"/>
        <v>0</v>
      </c>
      <c r="Z115" s="468">
        <f t="shared" si="100"/>
        <v>0</v>
      </c>
      <c r="AA115" s="474"/>
      <c r="AF115" s="200" t="str">
        <f t="shared" si="94"/>
        <v/>
      </c>
      <c r="AG115" s="320" t="str">
        <f t="shared" si="50"/>
        <v/>
      </c>
      <c r="AH115" s="33" t="str">
        <f t="shared" si="51"/>
        <v/>
      </c>
      <c r="AI115" s="99" t="str">
        <f t="shared" si="95"/>
        <v/>
      </c>
      <c r="AJ115" s="121"/>
      <c r="AK115" s="42"/>
      <c r="AL115" s="163"/>
      <c r="AM115" s="48"/>
      <c r="AP115" s="5"/>
    </row>
    <row r="116" spans="2:42" ht="15" customHeight="1">
      <c r="B116" s="545" t="s">
        <v>121</v>
      </c>
      <c r="C116" s="546"/>
      <c r="D116" s="547"/>
      <c r="E116" s="551">
        <f>SUM(E118:E126)</f>
        <v>50</v>
      </c>
      <c r="F116" s="552"/>
      <c r="G116" s="322"/>
      <c r="H116" s="220"/>
      <c r="I116" s="342" t="str">
        <f t="shared" si="55"/>
        <v/>
      </c>
      <c r="J116" s="555">
        <f>SUM(S118:S126)</f>
        <v>0</v>
      </c>
      <c r="K116" s="555"/>
      <c r="L116" s="556"/>
      <c r="M116" s="460"/>
      <c r="N116" s="456"/>
      <c r="O116" s="456"/>
      <c r="P116" s="456"/>
      <c r="Q116" s="461"/>
      <c r="R116" s="559">
        <f>SUM(E116,J116)</f>
        <v>50</v>
      </c>
      <c r="S116" s="560"/>
      <c r="T116" s="308"/>
      <c r="U116" s="471">
        <v>35</v>
      </c>
      <c r="V116" s="468">
        <f t="shared" si="96"/>
        <v>0</v>
      </c>
      <c r="W116" s="468">
        <f t="shared" si="97"/>
        <v>89.64</v>
      </c>
      <c r="X116" s="468">
        <f t="shared" si="98"/>
        <v>0</v>
      </c>
      <c r="Y116" s="468">
        <f t="shared" si="99"/>
        <v>0</v>
      </c>
      <c r="Z116" s="468">
        <f t="shared" si="100"/>
        <v>0</v>
      </c>
      <c r="AA116" s="474"/>
      <c r="AF116" s="200" t="str">
        <f t="shared" si="94"/>
        <v/>
      </c>
      <c r="AG116" s="320" t="str">
        <f t="shared" si="50"/>
        <v/>
      </c>
      <c r="AH116" s="33" t="str">
        <f t="shared" si="51"/>
        <v/>
      </c>
      <c r="AI116" s="99" t="str">
        <f t="shared" si="95"/>
        <v/>
      </c>
      <c r="AJ116" s="103"/>
      <c r="AK116" s="109"/>
      <c r="AL116" s="101"/>
      <c r="AM116" s="48"/>
      <c r="AP116" s="5"/>
    </row>
    <row r="117" spans="2:42" ht="15" customHeight="1">
      <c r="B117" s="548"/>
      <c r="C117" s="549"/>
      <c r="D117" s="550"/>
      <c r="E117" s="553"/>
      <c r="F117" s="554"/>
      <c r="G117" s="323"/>
      <c r="H117" s="222"/>
      <c r="I117" s="346" t="str">
        <f t="shared" si="55"/>
        <v/>
      </c>
      <c r="J117" s="557"/>
      <c r="K117" s="557"/>
      <c r="L117" s="558"/>
      <c r="M117" s="462"/>
      <c r="N117" s="457"/>
      <c r="O117" s="457"/>
      <c r="P117" s="457"/>
      <c r="Q117" s="463"/>
      <c r="R117" s="561"/>
      <c r="S117" s="562"/>
      <c r="T117" s="308"/>
      <c r="U117" s="471">
        <v>36</v>
      </c>
      <c r="V117" s="468">
        <f t="shared" si="96"/>
        <v>0</v>
      </c>
      <c r="W117" s="468">
        <f t="shared" si="97"/>
        <v>593.15</v>
      </c>
      <c r="X117" s="468">
        <f t="shared" si="98"/>
        <v>0</v>
      </c>
      <c r="Y117" s="468">
        <f t="shared" si="99"/>
        <v>0</v>
      </c>
      <c r="Z117" s="468">
        <f t="shared" si="100"/>
        <v>0</v>
      </c>
      <c r="AA117" s="474"/>
      <c r="AF117" s="200" t="str">
        <f t="shared" si="94"/>
        <v/>
      </c>
      <c r="AG117" s="320" t="str">
        <f t="shared" si="50"/>
        <v/>
      </c>
      <c r="AH117" s="33" t="str">
        <f t="shared" si="51"/>
        <v/>
      </c>
      <c r="AI117" s="99" t="str">
        <f t="shared" si="95"/>
        <v/>
      </c>
      <c r="AJ117" s="103"/>
      <c r="AK117" s="109"/>
      <c r="AL117" s="101"/>
      <c r="AM117" s="48"/>
      <c r="AP117" s="5"/>
    </row>
    <row r="118" spans="2:42" ht="15" customHeight="1">
      <c r="B118" s="337">
        <v>50</v>
      </c>
      <c r="C118" s="191">
        <v>46312</v>
      </c>
      <c r="D118" s="74" t="s">
        <v>59</v>
      </c>
      <c r="E118" s="58">
        <f t="shared" ref="E118:E121" si="101">IF(OR(B118="",F118="Pago"),"",B118)</f>
        <v>50</v>
      </c>
      <c r="F118" s="351" t="s">
        <v>135</v>
      </c>
      <c r="G118" s="343">
        <f t="shared" ref="G118:G121" si="102">IF(B118="","",B118+C118)</f>
        <v>46362</v>
      </c>
      <c r="H118" s="344">
        <f t="shared" ref="H118:H126" si="103">IFERROR(VLOOKUP(G118,$AG$5:$AG$174,1,0),"")</f>
        <v>46362</v>
      </c>
      <c r="I118" s="343" t="str">
        <f>IF(H118="","","MOTO")</f>
        <v>MOTO</v>
      </c>
      <c r="J118" s="383" t="s">
        <v>94</v>
      </c>
      <c r="K118" s="351" t="s">
        <v>90</v>
      </c>
      <c r="L118" s="384" t="str">
        <f t="shared" ref="L118:L121" si="104">IF(K118="AV","8",IF(AND(G118="",H118=""),"",IF(G118=H118,"P",IF(G118&lt;&gt;H118,"O"))))</f>
        <v>P</v>
      </c>
      <c r="M118" s="465">
        <f>IF(K118="AV",MAX($M$12:M117)+1,0)</f>
        <v>0</v>
      </c>
      <c r="N118" s="458">
        <f>IF(K118="IT",MAX($N$12:N117)+1,0)</f>
        <v>25</v>
      </c>
      <c r="O118" s="458">
        <f>IF(K118="IT2",MAX($O$12:O117)+1,0)</f>
        <v>0</v>
      </c>
      <c r="P118" s="458">
        <f>IF(K118="ITP",MAX($P$12:P117)+1,0)</f>
        <v>0</v>
      </c>
      <c r="Q118" s="458">
        <f>IF(K118="C6",MAX($Q$12:Q117)+1,0)</f>
        <v>0</v>
      </c>
      <c r="R118" s="354"/>
      <c r="S118" s="348" t="str">
        <f t="shared" ref="S118:S121" si="105">IF(F118="Pago",B118,"")</f>
        <v/>
      </c>
      <c r="T118" s="308"/>
      <c r="U118" s="471">
        <v>37</v>
      </c>
      <c r="V118" s="468">
        <f t="shared" si="96"/>
        <v>0</v>
      </c>
      <c r="W118" s="468">
        <f t="shared" si="97"/>
        <v>190</v>
      </c>
      <c r="X118" s="468">
        <f t="shared" si="98"/>
        <v>0</v>
      </c>
      <c r="Y118" s="468">
        <f t="shared" si="99"/>
        <v>0</v>
      </c>
      <c r="Z118" s="468">
        <f t="shared" si="100"/>
        <v>0</v>
      </c>
      <c r="AA118" s="474"/>
      <c r="AF118" s="200" t="str">
        <f t="shared" si="94"/>
        <v/>
      </c>
      <c r="AG118" s="320" t="str">
        <f t="shared" si="50"/>
        <v/>
      </c>
      <c r="AH118" s="33" t="str">
        <f t="shared" si="51"/>
        <v/>
      </c>
      <c r="AI118" s="99" t="str">
        <f t="shared" si="95"/>
        <v/>
      </c>
      <c r="AJ118" s="103"/>
      <c r="AK118" s="109"/>
      <c r="AL118" s="101"/>
      <c r="AM118" s="48"/>
      <c r="AP118" s="5"/>
    </row>
    <row r="119" spans="2:42" ht="15" customHeight="1">
      <c r="B119" s="337"/>
      <c r="C119" s="191"/>
      <c r="D119" s="74"/>
      <c r="E119" s="58" t="str">
        <f t="shared" si="101"/>
        <v/>
      </c>
      <c r="F119" s="351"/>
      <c r="G119" s="343" t="str">
        <f t="shared" si="102"/>
        <v/>
      </c>
      <c r="H119" s="344" t="str">
        <f t="shared" si="103"/>
        <v/>
      </c>
      <c r="I119" s="343" t="str">
        <f t="shared" ref="I119:I126" si="106">IF(H119="","","MOTO")</f>
        <v/>
      </c>
      <c r="J119" s="383"/>
      <c r="K119" s="351"/>
      <c r="L119" s="384" t="str">
        <f t="shared" si="104"/>
        <v/>
      </c>
      <c r="M119" s="465">
        <f>IF(K119="AV",MAX($M$12:M118)+1,0)</f>
        <v>0</v>
      </c>
      <c r="N119" s="458">
        <f>IF(K119="IT",MAX($N$12:N118)+1,0)</f>
        <v>0</v>
      </c>
      <c r="O119" s="458">
        <f>IF(K119="IT2",MAX($O$12:O118)+1,0)</f>
        <v>0</v>
      </c>
      <c r="P119" s="458">
        <f>IF(K119="ITP",MAX($P$12:P118)+1,0)</f>
        <v>0</v>
      </c>
      <c r="Q119" s="458">
        <f>IF(K119="C6",MAX($Q$12:Q118)+1,0)</f>
        <v>0</v>
      </c>
      <c r="R119" s="354"/>
      <c r="S119" s="348" t="str">
        <f t="shared" si="105"/>
        <v/>
      </c>
      <c r="T119" s="308"/>
      <c r="U119" s="471">
        <v>38</v>
      </c>
      <c r="V119" s="468">
        <f t="shared" si="96"/>
        <v>0</v>
      </c>
      <c r="W119" s="468">
        <f t="shared" si="97"/>
        <v>75.58</v>
      </c>
      <c r="X119" s="468">
        <f t="shared" si="98"/>
        <v>0</v>
      </c>
      <c r="Y119" s="468">
        <f t="shared" si="99"/>
        <v>0</v>
      </c>
      <c r="Z119" s="468">
        <f t="shared" si="100"/>
        <v>0</v>
      </c>
      <c r="AA119" s="474"/>
      <c r="AF119" s="200" t="str">
        <f t="shared" si="94"/>
        <v/>
      </c>
      <c r="AG119" s="320" t="str">
        <f t="shared" si="50"/>
        <v/>
      </c>
      <c r="AH119" s="33" t="str">
        <f t="shared" si="51"/>
        <v/>
      </c>
      <c r="AI119" s="99" t="str">
        <f t="shared" si="95"/>
        <v/>
      </c>
      <c r="AJ119" s="103"/>
      <c r="AK119" s="109"/>
      <c r="AL119" s="101"/>
      <c r="AM119" s="48"/>
      <c r="AP119" s="5"/>
    </row>
    <row r="120" spans="2:42" ht="15" customHeight="1">
      <c r="B120" s="337"/>
      <c r="C120" s="191"/>
      <c r="D120" s="74"/>
      <c r="E120" s="58" t="str">
        <f t="shared" si="101"/>
        <v/>
      </c>
      <c r="F120" s="351"/>
      <c r="G120" s="343" t="str">
        <f t="shared" si="102"/>
        <v/>
      </c>
      <c r="H120" s="344" t="str">
        <f t="shared" si="103"/>
        <v/>
      </c>
      <c r="I120" s="343" t="str">
        <f t="shared" si="106"/>
        <v/>
      </c>
      <c r="J120" s="383"/>
      <c r="K120" s="351"/>
      <c r="L120" s="384" t="str">
        <f t="shared" si="104"/>
        <v/>
      </c>
      <c r="M120" s="465">
        <f>IF(K120="AV",MAX($M$12:M119)+1,0)</f>
        <v>0</v>
      </c>
      <c r="N120" s="458">
        <f>IF(K120="IT",MAX($N$12:N119)+1,0)</f>
        <v>0</v>
      </c>
      <c r="O120" s="458">
        <f>IF(K120="IT2",MAX($O$12:O119)+1,0)</f>
        <v>0</v>
      </c>
      <c r="P120" s="458">
        <f>IF(K120="ITP",MAX($P$12:P119)+1,0)</f>
        <v>0</v>
      </c>
      <c r="Q120" s="458">
        <f>IF(K120="C6",MAX($Q$12:Q119)+1,0)</f>
        <v>0</v>
      </c>
      <c r="R120" s="354"/>
      <c r="S120" s="348" t="str">
        <f t="shared" si="105"/>
        <v/>
      </c>
      <c r="T120" s="312"/>
      <c r="U120" s="471">
        <v>39</v>
      </c>
      <c r="V120" s="468">
        <f t="shared" si="96"/>
        <v>0</v>
      </c>
      <c r="W120" s="468">
        <f t="shared" si="97"/>
        <v>84.35</v>
      </c>
      <c r="X120" s="468">
        <f t="shared" si="98"/>
        <v>0</v>
      </c>
      <c r="Y120" s="468">
        <f t="shared" si="99"/>
        <v>0</v>
      </c>
      <c r="Z120" s="468">
        <f t="shared" si="100"/>
        <v>0</v>
      </c>
      <c r="AA120" s="474"/>
      <c r="AF120" s="200" t="str">
        <f t="shared" si="94"/>
        <v/>
      </c>
      <c r="AG120" s="320" t="str">
        <f t="shared" si="50"/>
        <v/>
      </c>
      <c r="AH120" s="33" t="str">
        <f t="shared" si="51"/>
        <v/>
      </c>
      <c r="AI120" s="99" t="str">
        <f t="shared" si="95"/>
        <v/>
      </c>
      <c r="AJ120" s="103"/>
      <c r="AK120" s="109"/>
      <c r="AL120" s="101"/>
      <c r="AM120" s="48"/>
      <c r="AP120" s="5"/>
    </row>
    <row r="121" spans="2:42" ht="15" customHeight="1">
      <c r="B121" s="337"/>
      <c r="C121" s="191"/>
      <c r="D121" s="74"/>
      <c r="E121" s="58" t="str">
        <f t="shared" si="101"/>
        <v/>
      </c>
      <c r="F121" s="351"/>
      <c r="G121" s="343" t="str">
        <f t="shared" si="102"/>
        <v/>
      </c>
      <c r="H121" s="344" t="str">
        <f t="shared" si="103"/>
        <v/>
      </c>
      <c r="I121" s="343" t="str">
        <f t="shared" si="106"/>
        <v/>
      </c>
      <c r="J121" s="383"/>
      <c r="K121" s="351"/>
      <c r="L121" s="384" t="str">
        <f t="shared" si="104"/>
        <v/>
      </c>
      <c r="M121" s="465">
        <f>IF(K121="AV",MAX($M$12:M120)+1,0)</f>
        <v>0</v>
      </c>
      <c r="N121" s="458">
        <f>IF(K121="IT",MAX($N$12:N120)+1,0)</f>
        <v>0</v>
      </c>
      <c r="O121" s="458">
        <f>IF(K121="IT2",MAX($O$12:O120)+1,0)</f>
        <v>0</v>
      </c>
      <c r="P121" s="458">
        <f>IF(K121="ITP",MAX($P$12:P120)+1,0)</f>
        <v>0</v>
      </c>
      <c r="Q121" s="458">
        <f>IF(K121="C6",MAX($Q$12:Q120)+1,0)</f>
        <v>0</v>
      </c>
      <c r="R121" s="354"/>
      <c r="S121" s="348" t="str">
        <f t="shared" si="105"/>
        <v/>
      </c>
      <c r="T121" s="308"/>
      <c r="U121" s="471">
        <v>40</v>
      </c>
      <c r="V121" s="468">
        <f t="shared" si="96"/>
        <v>0</v>
      </c>
      <c r="W121" s="468">
        <f t="shared" si="97"/>
        <v>125</v>
      </c>
      <c r="X121" s="468">
        <f t="shared" si="98"/>
        <v>0</v>
      </c>
      <c r="Y121" s="468">
        <f t="shared" si="99"/>
        <v>0</v>
      </c>
      <c r="Z121" s="468">
        <f t="shared" si="100"/>
        <v>0</v>
      </c>
      <c r="AA121" s="474"/>
      <c r="AF121" s="200" t="str">
        <f t="shared" si="94"/>
        <v/>
      </c>
      <c r="AG121" s="320" t="str">
        <f t="shared" si="50"/>
        <v/>
      </c>
      <c r="AH121" s="33" t="str">
        <f t="shared" si="51"/>
        <v/>
      </c>
      <c r="AI121" s="99" t="str">
        <f t="shared" si="95"/>
        <v/>
      </c>
      <c r="AJ121" s="103"/>
      <c r="AK121" s="109"/>
      <c r="AL121" s="101"/>
      <c r="AM121" s="48"/>
      <c r="AP121" s="5"/>
    </row>
    <row r="122" spans="2:42" ht="15" customHeight="1">
      <c r="B122" s="337"/>
      <c r="C122" s="191"/>
      <c r="D122" s="74"/>
      <c r="E122" s="58" t="str">
        <f t="shared" ref="E122:E124" si="107">IF(OR(B122="",F122="Pago"),"",B122)</f>
        <v/>
      </c>
      <c r="F122" s="351"/>
      <c r="G122" s="343" t="str">
        <f t="shared" ref="G122:G126" si="108">IF(B122="","",B122+C122)</f>
        <v/>
      </c>
      <c r="H122" s="344" t="str">
        <f t="shared" si="103"/>
        <v/>
      </c>
      <c r="I122" s="343" t="str">
        <f t="shared" si="106"/>
        <v/>
      </c>
      <c r="J122" s="383"/>
      <c r="K122" s="351"/>
      <c r="L122" s="384" t="str">
        <f t="shared" ref="L122:L126" si="109">IF(K122="AV","8",IF(AND(G122="",H122=""),"",IF(G122=H122,"P",IF(G122&lt;&gt;H122,"O"))))</f>
        <v/>
      </c>
      <c r="M122" s="465">
        <f>IF(K122="AV",MAX($M$12:M121)+1,0)</f>
        <v>0</v>
      </c>
      <c r="N122" s="458">
        <f>IF(K122="IT",MAX($N$12:N121)+1,0)</f>
        <v>0</v>
      </c>
      <c r="O122" s="458">
        <f>IF(K122="IT2",MAX($O$12:O121)+1,0)</f>
        <v>0</v>
      </c>
      <c r="P122" s="458">
        <f>IF(K122="ITP",MAX($P$12:P121)+1,0)</f>
        <v>0</v>
      </c>
      <c r="Q122" s="458">
        <f>IF(K122="C6",MAX($Q$12:Q121)+1,0)</f>
        <v>0</v>
      </c>
      <c r="R122" s="354"/>
      <c r="S122" s="348" t="str">
        <f t="shared" ref="S122:S124" si="110">IF(F122="Pago",B122,"")</f>
        <v/>
      </c>
      <c r="T122" s="308"/>
      <c r="U122" s="471">
        <v>41</v>
      </c>
      <c r="V122" s="468">
        <f t="shared" si="96"/>
        <v>0</v>
      </c>
      <c r="W122" s="468">
        <f t="shared" si="97"/>
        <v>43</v>
      </c>
      <c r="X122" s="468">
        <f t="shared" si="98"/>
        <v>0</v>
      </c>
      <c r="Y122" s="468">
        <f t="shared" si="99"/>
        <v>0</v>
      </c>
      <c r="Z122" s="468">
        <f t="shared" si="100"/>
        <v>0</v>
      </c>
      <c r="AA122" s="474"/>
      <c r="AF122" s="200" t="str">
        <f t="shared" si="94"/>
        <v/>
      </c>
      <c r="AG122" s="320" t="str">
        <f t="shared" si="50"/>
        <v/>
      </c>
      <c r="AH122" s="33" t="str">
        <f t="shared" si="51"/>
        <v/>
      </c>
      <c r="AI122" s="99" t="str">
        <f t="shared" si="95"/>
        <v/>
      </c>
      <c r="AJ122" s="103"/>
      <c r="AK122" s="109"/>
      <c r="AL122" s="101"/>
      <c r="AM122" s="48"/>
      <c r="AP122" s="5"/>
    </row>
    <row r="123" spans="2:42" ht="15" customHeight="1">
      <c r="B123" s="337"/>
      <c r="C123" s="191"/>
      <c r="D123" s="74"/>
      <c r="E123" s="58" t="str">
        <f t="shared" si="107"/>
        <v/>
      </c>
      <c r="F123" s="351"/>
      <c r="G123" s="343" t="str">
        <f t="shared" si="108"/>
        <v/>
      </c>
      <c r="H123" s="344" t="str">
        <f t="shared" si="103"/>
        <v/>
      </c>
      <c r="I123" s="343" t="str">
        <f t="shared" si="106"/>
        <v/>
      </c>
      <c r="J123" s="383"/>
      <c r="K123" s="351"/>
      <c r="L123" s="384" t="str">
        <f t="shared" si="109"/>
        <v/>
      </c>
      <c r="M123" s="465">
        <f>IF(K123="AV",MAX($M$12:M122)+1,0)</f>
        <v>0</v>
      </c>
      <c r="N123" s="458">
        <f>IF(K123="IT",MAX($N$12:N122)+1,0)</f>
        <v>0</v>
      </c>
      <c r="O123" s="458">
        <f>IF(K123="IT2",MAX($O$12:O122)+1,0)</f>
        <v>0</v>
      </c>
      <c r="P123" s="458">
        <f>IF(K123="ITP",MAX($P$12:P122)+1,0)</f>
        <v>0</v>
      </c>
      <c r="Q123" s="458">
        <f>IF(K123="C6",MAX($Q$12:Q122)+1,0)</f>
        <v>0</v>
      </c>
      <c r="R123" s="354"/>
      <c r="S123" s="348" t="str">
        <f t="shared" si="110"/>
        <v/>
      </c>
      <c r="T123" s="308"/>
      <c r="U123" s="471">
        <v>42</v>
      </c>
      <c r="V123" s="468">
        <f t="shared" si="96"/>
        <v>0</v>
      </c>
      <c r="W123" s="468">
        <f t="shared" si="97"/>
        <v>39.049999999999997</v>
      </c>
      <c r="X123" s="468">
        <f t="shared" si="98"/>
        <v>0</v>
      </c>
      <c r="Y123" s="468">
        <f t="shared" si="99"/>
        <v>0</v>
      </c>
      <c r="Z123" s="468">
        <f t="shared" si="100"/>
        <v>0</v>
      </c>
      <c r="AA123" s="474"/>
      <c r="AF123" s="200" t="str">
        <f t="shared" si="94"/>
        <v/>
      </c>
      <c r="AG123" s="320" t="str">
        <f t="shared" si="50"/>
        <v/>
      </c>
      <c r="AH123" s="33" t="str">
        <f t="shared" si="51"/>
        <v/>
      </c>
      <c r="AI123" s="99" t="str">
        <f t="shared" si="95"/>
        <v/>
      </c>
      <c r="AJ123" s="103"/>
      <c r="AK123" s="109"/>
      <c r="AL123" s="101"/>
      <c r="AM123" s="48"/>
      <c r="AP123" s="5"/>
    </row>
    <row r="124" spans="2:42" ht="15" customHeight="1">
      <c r="B124" s="337"/>
      <c r="C124" s="191"/>
      <c r="D124" s="74"/>
      <c r="E124" s="58" t="str">
        <f t="shared" si="107"/>
        <v/>
      </c>
      <c r="F124" s="351"/>
      <c r="G124" s="343" t="str">
        <f t="shared" si="108"/>
        <v/>
      </c>
      <c r="H124" s="344" t="str">
        <f t="shared" si="103"/>
        <v/>
      </c>
      <c r="I124" s="343" t="str">
        <f t="shared" si="106"/>
        <v/>
      </c>
      <c r="J124" s="383"/>
      <c r="K124" s="351"/>
      <c r="L124" s="384" t="str">
        <f t="shared" si="109"/>
        <v/>
      </c>
      <c r="M124" s="465">
        <f>IF(K124="AV",MAX($M$12:M123)+1,0)</f>
        <v>0</v>
      </c>
      <c r="N124" s="458">
        <f>IF(K124="IT",MAX($N$12:N123)+1,0)</f>
        <v>0</v>
      </c>
      <c r="O124" s="458">
        <f>IF(K124="IT2",MAX($O$12:O123)+1,0)</f>
        <v>0</v>
      </c>
      <c r="P124" s="458">
        <f>IF(K124="ITP",MAX($P$12:P123)+1,0)</f>
        <v>0</v>
      </c>
      <c r="Q124" s="458">
        <f>IF(K124="C6",MAX($Q$12:Q123)+1,0)</f>
        <v>0</v>
      </c>
      <c r="R124" s="354"/>
      <c r="S124" s="348" t="str">
        <f t="shared" si="110"/>
        <v/>
      </c>
      <c r="T124" s="308"/>
      <c r="U124" s="471">
        <v>43</v>
      </c>
      <c r="V124" s="468">
        <f t="shared" si="96"/>
        <v>0</v>
      </c>
      <c r="W124" s="468">
        <f t="shared" si="97"/>
        <v>166.7</v>
      </c>
      <c r="X124" s="468">
        <f t="shared" si="98"/>
        <v>0</v>
      </c>
      <c r="Y124" s="468">
        <f t="shared" si="99"/>
        <v>0</v>
      </c>
      <c r="Z124" s="468">
        <f t="shared" si="100"/>
        <v>0</v>
      </c>
      <c r="AA124" s="474"/>
      <c r="AF124" s="200" t="str">
        <f t="shared" si="94"/>
        <v/>
      </c>
      <c r="AG124" s="320" t="str">
        <f t="shared" si="50"/>
        <v/>
      </c>
      <c r="AH124" s="33" t="str">
        <f t="shared" si="51"/>
        <v/>
      </c>
      <c r="AI124" s="99" t="str">
        <f t="shared" si="95"/>
        <v/>
      </c>
      <c r="AJ124" s="103"/>
      <c r="AK124" s="109"/>
      <c r="AL124" s="101"/>
      <c r="AM124" s="48"/>
      <c r="AP124" s="5"/>
    </row>
    <row r="125" spans="2:42" ht="15" customHeight="1">
      <c r="B125" s="337"/>
      <c r="C125" s="191"/>
      <c r="D125" s="74"/>
      <c r="E125" s="58" t="str">
        <f>IF(OR(B125="",F125="Pago"),"",B125)</f>
        <v/>
      </c>
      <c r="F125" s="351"/>
      <c r="G125" s="343" t="str">
        <f t="shared" si="108"/>
        <v/>
      </c>
      <c r="H125" s="344" t="str">
        <f t="shared" si="103"/>
        <v/>
      </c>
      <c r="I125" s="343" t="str">
        <f t="shared" si="106"/>
        <v/>
      </c>
      <c r="J125" s="383"/>
      <c r="K125" s="351"/>
      <c r="L125" s="384" t="str">
        <f t="shared" si="109"/>
        <v/>
      </c>
      <c r="M125" s="465">
        <f>IF(K125="AV",MAX($M$12:M124)+1,0)</f>
        <v>0</v>
      </c>
      <c r="N125" s="458">
        <f>IF(K125="IT",MAX($N$12:N124)+1,0)</f>
        <v>0</v>
      </c>
      <c r="O125" s="458">
        <f>IF(K125="IT2",MAX($O$12:O124)+1,0)</f>
        <v>0</v>
      </c>
      <c r="P125" s="458">
        <f>IF(K125="ITP",MAX($P$12:P124)+1,0)</f>
        <v>0</v>
      </c>
      <c r="Q125" s="458">
        <f>IF(K125="C6",MAX($Q$12:Q124)+1,0)</f>
        <v>0</v>
      </c>
      <c r="R125" s="355"/>
      <c r="S125" s="348" t="str">
        <f>IF(F125="Pago",B125,"")</f>
        <v/>
      </c>
      <c r="T125" s="308"/>
      <c r="U125" s="471">
        <v>44</v>
      </c>
      <c r="V125" s="468">
        <f t="shared" si="96"/>
        <v>0</v>
      </c>
      <c r="W125" s="468">
        <f t="shared" si="97"/>
        <v>479.74</v>
      </c>
      <c r="X125" s="468">
        <f t="shared" si="98"/>
        <v>0</v>
      </c>
      <c r="Y125" s="468">
        <f t="shared" si="99"/>
        <v>0</v>
      </c>
      <c r="Z125" s="468">
        <f t="shared" si="100"/>
        <v>0</v>
      </c>
      <c r="AA125" s="474"/>
      <c r="AF125" s="200" t="str">
        <f t="shared" si="94"/>
        <v/>
      </c>
      <c r="AG125" s="320" t="str">
        <f t="shared" si="50"/>
        <v/>
      </c>
      <c r="AH125" s="33" t="str">
        <f t="shared" si="51"/>
        <v/>
      </c>
      <c r="AI125" s="99" t="str">
        <f t="shared" si="95"/>
        <v/>
      </c>
      <c r="AJ125" s="103"/>
      <c r="AK125" s="109"/>
      <c r="AL125" s="101"/>
      <c r="AM125" s="48"/>
      <c r="AP125" s="5"/>
    </row>
    <row r="126" spans="2:42" ht="15" customHeight="1">
      <c r="B126" s="338"/>
      <c r="C126" s="215"/>
      <c r="D126" s="76"/>
      <c r="E126" s="67" t="str">
        <f>IF(OR(B126="",F126="Pago"),"",B126)</f>
        <v/>
      </c>
      <c r="F126" s="356"/>
      <c r="G126" s="345" t="str">
        <f t="shared" si="108"/>
        <v/>
      </c>
      <c r="H126" s="346" t="str">
        <f t="shared" si="103"/>
        <v/>
      </c>
      <c r="I126" s="345" t="str">
        <f t="shared" si="106"/>
        <v/>
      </c>
      <c r="J126" s="358"/>
      <c r="K126" s="356"/>
      <c r="L126" s="359" t="str">
        <f t="shared" si="109"/>
        <v/>
      </c>
      <c r="M126" s="466">
        <f>IF(K126="AV",MAX($M$12:M125)+1,0)</f>
        <v>0</v>
      </c>
      <c r="N126" s="459">
        <f>IF(K126="IT",MAX($N$12:N125)+1,0)</f>
        <v>0</v>
      </c>
      <c r="O126" s="459">
        <f>IF(K126="IT2",MAX($O$12:O125)+1,0)</f>
        <v>0</v>
      </c>
      <c r="P126" s="459">
        <f>IF(K126="ITP",MAX($P$12:P125)+1,0)</f>
        <v>0</v>
      </c>
      <c r="Q126" s="459">
        <f>IF(K126="C6",MAX($Q$12:Q125)+1,0)</f>
        <v>0</v>
      </c>
      <c r="R126" s="363"/>
      <c r="S126" s="349" t="str">
        <f>IF(F126="Pago",B126,"")</f>
        <v/>
      </c>
      <c r="T126" s="308"/>
      <c r="U126" s="471">
        <v>45</v>
      </c>
      <c r="V126" s="468">
        <f t="shared" si="96"/>
        <v>0</v>
      </c>
      <c r="W126" s="468">
        <f t="shared" si="97"/>
        <v>80</v>
      </c>
      <c r="X126" s="468">
        <f t="shared" si="98"/>
        <v>0</v>
      </c>
      <c r="Y126" s="468">
        <f t="shared" si="99"/>
        <v>0</v>
      </c>
      <c r="Z126" s="468">
        <f t="shared" si="100"/>
        <v>0</v>
      </c>
      <c r="AA126" s="474"/>
      <c r="AF126" s="200" t="str">
        <f t="shared" si="94"/>
        <v/>
      </c>
      <c r="AG126" s="320" t="str">
        <f t="shared" si="50"/>
        <v/>
      </c>
      <c r="AH126" s="33" t="str">
        <f t="shared" si="51"/>
        <v/>
      </c>
      <c r="AI126" s="99" t="str">
        <f t="shared" si="95"/>
        <v/>
      </c>
      <c r="AJ126" s="103"/>
      <c r="AK126" s="109"/>
      <c r="AL126" s="101"/>
      <c r="AM126" s="48"/>
      <c r="AP126" s="5"/>
    </row>
    <row r="127" spans="2:42" ht="15" customHeight="1">
      <c r="B127" s="308"/>
      <c r="C127" s="308"/>
      <c r="D127" s="308"/>
      <c r="E127" s="308"/>
      <c r="F127" s="308"/>
      <c r="G127" s="308"/>
      <c r="H127" s="308"/>
      <c r="I127" s="308"/>
      <c r="J127" s="308"/>
      <c r="K127" s="308"/>
      <c r="L127" s="308"/>
      <c r="M127" s="308"/>
      <c r="N127" s="308"/>
      <c r="O127" s="308"/>
      <c r="P127" s="308"/>
      <c r="Q127" s="308"/>
      <c r="R127" s="308"/>
      <c r="S127" s="308"/>
      <c r="T127" s="308"/>
      <c r="U127" s="471">
        <v>46</v>
      </c>
      <c r="V127" s="468">
        <f t="shared" si="96"/>
        <v>0</v>
      </c>
      <c r="W127" s="468">
        <f t="shared" si="97"/>
        <v>74</v>
      </c>
      <c r="X127" s="468">
        <f t="shared" si="98"/>
        <v>0</v>
      </c>
      <c r="Y127" s="468">
        <f t="shared" si="99"/>
        <v>0</v>
      </c>
      <c r="Z127" s="468">
        <f t="shared" si="100"/>
        <v>0</v>
      </c>
      <c r="AA127" s="474"/>
      <c r="AF127" s="200" t="str">
        <f t="shared" si="94"/>
        <v/>
      </c>
      <c r="AG127" s="320" t="str">
        <f t="shared" si="50"/>
        <v/>
      </c>
      <c r="AH127" s="33" t="str">
        <f t="shared" si="51"/>
        <v/>
      </c>
      <c r="AI127" s="99" t="str">
        <f t="shared" si="95"/>
        <v/>
      </c>
      <c r="AJ127" s="103"/>
      <c r="AK127" s="109"/>
      <c r="AL127" s="101"/>
      <c r="AM127" s="48"/>
      <c r="AP127" s="5"/>
    </row>
    <row r="128" spans="2:42" ht="15" customHeight="1">
      <c r="B128" s="545" t="s">
        <v>120</v>
      </c>
      <c r="C128" s="546"/>
      <c r="D128" s="547"/>
      <c r="E128" s="551">
        <f>SUM(E130:E138)</f>
        <v>724.83</v>
      </c>
      <c r="F128" s="552"/>
      <c r="G128" s="322"/>
      <c r="H128" s="220"/>
      <c r="I128" s="342" t="str">
        <f t="shared" si="55"/>
        <v/>
      </c>
      <c r="J128" s="555">
        <f>SUM(S130:S138)</f>
        <v>0</v>
      </c>
      <c r="K128" s="555"/>
      <c r="L128" s="556"/>
      <c r="M128" s="460"/>
      <c r="N128" s="456"/>
      <c r="O128" s="456"/>
      <c r="P128" s="456"/>
      <c r="Q128" s="461"/>
      <c r="R128" s="559">
        <f>SUM(E128,J128)</f>
        <v>724.83</v>
      </c>
      <c r="S128" s="560"/>
      <c r="T128" s="308"/>
      <c r="U128" s="471">
        <v>47</v>
      </c>
      <c r="V128" s="468">
        <f t="shared" si="96"/>
        <v>0</v>
      </c>
      <c r="W128" s="468">
        <f t="shared" si="97"/>
        <v>0</v>
      </c>
      <c r="X128" s="468">
        <f t="shared" si="98"/>
        <v>0</v>
      </c>
      <c r="Y128" s="468">
        <f t="shared" si="99"/>
        <v>0</v>
      </c>
      <c r="Z128" s="468">
        <f t="shared" si="100"/>
        <v>0</v>
      </c>
      <c r="AA128" s="474"/>
      <c r="AB128" s="308"/>
      <c r="AC128" s="308"/>
      <c r="AD128" s="497"/>
      <c r="AE128" s="308"/>
      <c r="AF128" s="200" t="str">
        <f t="shared" si="94"/>
        <v/>
      </c>
      <c r="AG128" s="320" t="str">
        <f t="shared" si="50"/>
        <v/>
      </c>
      <c r="AH128" s="33" t="str">
        <f t="shared" si="51"/>
        <v/>
      </c>
      <c r="AI128" s="99" t="str">
        <f t="shared" si="95"/>
        <v/>
      </c>
      <c r="AJ128" s="103"/>
      <c r="AK128" s="109"/>
      <c r="AL128" s="101"/>
      <c r="AM128" s="48"/>
      <c r="AP128" s="5"/>
    </row>
    <row r="129" spans="2:42" ht="15" customHeight="1">
      <c r="B129" s="548"/>
      <c r="C129" s="549"/>
      <c r="D129" s="550"/>
      <c r="E129" s="553"/>
      <c r="F129" s="554"/>
      <c r="G129" s="323"/>
      <c r="H129" s="222"/>
      <c r="I129" s="346" t="str">
        <f t="shared" si="55"/>
        <v/>
      </c>
      <c r="J129" s="557"/>
      <c r="K129" s="557"/>
      <c r="L129" s="558"/>
      <c r="M129" s="462"/>
      <c r="N129" s="457"/>
      <c r="O129" s="457"/>
      <c r="P129" s="457"/>
      <c r="Q129" s="463"/>
      <c r="R129" s="561"/>
      <c r="S129" s="562"/>
      <c r="T129" s="308"/>
      <c r="U129" s="471">
        <v>48</v>
      </c>
      <c r="V129" s="468">
        <f t="shared" si="96"/>
        <v>0</v>
      </c>
      <c r="W129" s="468">
        <f t="shared" si="97"/>
        <v>0</v>
      </c>
      <c r="X129" s="468">
        <f t="shared" si="98"/>
        <v>0</v>
      </c>
      <c r="Y129" s="468">
        <f t="shared" si="99"/>
        <v>0</v>
      </c>
      <c r="Z129" s="468">
        <f t="shared" si="100"/>
        <v>0</v>
      </c>
      <c r="AA129" s="474"/>
      <c r="AB129" s="308"/>
      <c r="AC129" s="308"/>
      <c r="AD129" s="497"/>
      <c r="AE129" s="308"/>
      <c r="AF129" s="200">
        <f t="shared" si="94"/>
        <v>46470</v>
      </c>
      <c r="AG129" s="321">
        <f t="shared" si="50"/>
        <v>46470</v>
      </c>
      <c r="AH129" s="115" t="str">
        <f t="shared" si="51"/>
        <v>P</v>
      </c>
      <c r="AI129" s="99" t="str">
        <f t="shared" si="95"/>
        <v>GUTO</v>
      </c>
      <c r="AJ129" s="218">
        <v>46118</v>
      </c>
      <c r="AK129" s="289" t="s">
        <v>429</v>
      </c>
      <c r="AL129" s="163">
        <v>352</v>
      </c>
      <c r="AM129" s="116"/>
      <c r="AP129" s="5"/>
    </row>
    <row r="130" spans="2:42" ht="15" customHeight="1">
      <c r="B130" s="337">
        <v>112.5</v>
      </c>
      <c r="C130" s="191">
        <v>46281</v>
      </c>
      <c r="D130" s="74" t="s">
        <v>274</v>
      </c>
      <c r="E130" s="58">
        <f>IF(OR(B130="",F130="Pago"),"",B130)</f>
        <v>112.5</v>
      </c>
      <c r="F130" s="351" t="s">
        <v>135</v>
      </c>
      <c r="G130" s="343">
        <f>IF(B130="","",B130+C130)</f>
        <v>46393.5</v>
      </c>
      <c r="H130" s="344">
        <f>IFERROR(VLOOKUP(G130,$AG$5:$AG$174,1,0),"")</f>
        <v>46393.5</v>
      </c>
      <c r="I130" s="343" t="str">
        <f>IF(H130="","","CARRO")</f>
        <v>CARRO</v>
      </c>
      <c r="J130" s="383" t="s">
        <v>94</v>
      </c>
      <c r="K130" s="351" t="s">
        <v>90</v>
      </c>
      <c r="L130" s="384" t="str">
        <f>IF(K130="AV","8",IF(AND(G130="",H130=""),"",IF(G130=H130,"P",IF(G130&lt;&gt;H130,"O"))))</f>
        <v>P</v>
      </c>
      <c r="M130" s="465">
        <f>IF(K130="AV",MAX($M$12:M129)+1,0)</f>
        <v>0</v>
      </c>
      <c r="N130" s="458">
        <f>IF(K130="IT",MAX($N$12:N129)+1,0)</f>
        <v>26</v>
      </c>
      <c r="O130" s="458">
        <f>IF(K130="IT2",MAX($O$12:O129)+1,0)</f>
        <v>0</v>
      </c>
      <c r="P130" s="458">
        <f>IF(K130="ITP",MAX($P$12:P129)+1,0)</f>
        <v>0</v>
      </c>
      <c r="Q130" s="458">
        <f>IF(K130="C6",MAX($Q$12:Q129)+1,0)</f>
        <v>0</v>
      </c>
      <c r="R130" s="354" t="s">
        <v>363</v>
      </c>
      <c r="S130" s="347" t="str">
        <f>IF(F130="Pago",B130,"")</f>
        <v/>
      </c>
      <c r="T130" s="308"/>
      <c r="U130" s="471">
        <v>49</v>
      </c>
      <c r="V130" s="468">
        <f t="shared" si="96"/>
        <v>0</v>
      </c>
      <c r="W130" s="468">
        <f t="shared" si="97"/>
        <v>0</v>
      </c>
      <c r="X130" s="468">
        <f t="shared" si="98"/>
        <v>0</v>
      </c>
      <c r="Y130" s="468">
        <f t="shared" si="99"/>
        <v>0</v>
      </c>
      <c r="Z130" s="468">
        <f t="shared" si="100"/>
        <v>0</v>
      </c>
      <c r="AA130" s="474"/>
      <c r="AB130" s="308"/>
      <c r="AC130" s="308"/>
      <c r="AD130" s="497"/>
      <c r="AE130" s="308"/>
      <c r="AF130" s="308"/>
      <c r="AG130" s="308"/>
      <c r="AH130" s="308"/>
      <c r="AI130" s="339"/>
      <c r="AJ130" s="565">
        <f>SUM(AL110:AL129)</f>
        <v>352</v>
      </c>
      <c r="AK130" s="566"/>
      <c r="AL130" s="567"/>
      <c r="AP130" s="5"/>
    </row>
    <row r="131" spans="2:42" ht="15" customHeight="1">
      <c r="B131" s="337">
        <v>125</v>
      </c>
      <c r="C131" s="191">
        <v>46284</v>
      </c>
      <c r="D131" s="74" t="s">
        <v>290</v>
      </c>
      <c r="E131" s="58">
        <f t="shared" ref="E131:E136" si="111">IF(OR(B131="",F131="Pago"),"",B131)</f>
        <v>125</v>
      </c>
      <c r="F131" s="351" t="s">
        <v>135</v>
      </c>
      <c r="G131" s="343">
        <f>IF(B131="","",B131+C131)</f>
        <v>46409</v>
      </c>
      <c r="H131" s="343">
        <f>IFERROR(VLOOKUP(G131,$AG$5:$AG$174,1,0),"")</f>
        <v>46409</v>
      </c>
      <c r="I131" s="343" t="str">
        <f t="shared" ref="I131" si="112">IF(H131="","","CARRO")</f>
        <v>CARRO</v>
      </c>
      <c r="J131" s="383" t="s">
        <v>94</v>
      </c>
      <c r="K131" s="351" t="s">
        <v>90</v>
      </c>
      <c r="L131" s="384" t="str">
        <f>IF(K131="AV","8",IF(AND(G131="",H131=""),"",IF(G131=H131,"P",IF(G131&lt;&gt;H131,"O"))))</f>
        <v>P</v>
      </c>
      <c r="M131" s="465">
        <f>IF(K131="AV",MAX($M$12:M130)+1,0)</f>
        <v>0</v>
      </c>
      <c r="N131" s="458">
        <f>IF(K131="IT",MAX($N$12:N130)+1,0)</f>
        <v>27</v>
      </c>
      <c r="O131" s="458">
        <f>IF(K131="IT2",MAX($O$12:O130)+1,0)</f>
        <v>0</v>
      </c>
      <c r="P131" s="458">
        <f>IF(K131="ITP",MAX($P$12:P130)+1,0)</f>
        <v>0</v>
      </c>
      <c r="Q131" s="458">
        <f>IF(K131="C6",MAX($Q$12:Q130)+1,0)</f>
        <v>0</v>
      </c>
      <c r="R131" s="355" t="s">
        <v>239</v>
      </c>
      <c r="S131" s="348" t="str">
        <f>IF(F131="Pago",B131,"")</f>
        <v/>
      </c>
      <c r="T131" s="308"/>
      <c r="U131" s="471">
        <v>50</v>
      </c>
      <c r="V131" s="468">
        <f t="shared" si="96"/>
        <v>0</v>
      </c>
      <c r="W131" s="468">
        <f t="shared" si="97"/>
        <v>0</v>
      </c>
      <c r="X131" s="468">
        <f t="shared" si="98"/>
        <v>0</v>
      </c>
      <c r="Y131" s="468">
        <f t="shared" si="99"/>
        <v>0</v>
      </c>
      <c r="Z131" s="468">
        <f t="shared" si="100"/>
        <v>0</v>
      </c>
      <c r="AA131" s="474"/>
      <c r="AB131" s="308"/>
      <c r="AC131" s="308"/>
      <c r="AD131" s="497"/>
      <c r="AE131" s="308"/>
      <c r="AF131" s="308"/>
      <c r="AG131" s="308"/>
      <c r="AH131" s="308"/>
      <c r="AI131" s="340"/>
      <c r="AJ131" s="565"/>
      <c r="AK131" s="566"/>
      <c r="AL131" s="567"/>
      <c r="AP131" s="5"/>
    </row>
    <row r="132" spans="2:42" ht="15" customHeight="1">
      <c r="B132" s="337">
        <v>100</v>
      </c>
      <c r="C132" s="191">
        <v>46313</v>
      </c>
      <c r="D132" s="74" t="s">
        <v>25</v>
      </c>
      <c r="E132" s="58">
        <f t="shared" si="111"/>
        <v>100</v>
      </c>
      <c r="F132" s="351" t="s">
        <v>135</v>
      </c>
      <c r="G132" s="343">
        <f>IF(B132="","",B132+C132)</f>
        <v>46413</v>
      </c>
      <c r="H132" s="343">
        <f t="shared" ref="H132:H138" si="113">IFERROR(VLOOKUP(G132,$AG$5:$AG$174,1,0),"")</f>
        <v>46413</v>
      </c>
      <c r="I132" s="343" t="str">
        <f t="shared" ref="I132:I138" si="114">IF(H132="","","CARRO")</f>
        <v>CARRO</v>
      </c>
      <c r="J132" s="383" t="s">
        <v>94</v>
      </c>
      <c r="K132" s="351" t="s">
        <v>90</v>
      </c>
      <c r="L132" s="384" t="str">
        <f t="shared" ref="L132:L138" si="115">IF(K132="AV","8",IF(AND(G132="",H132=""),"",IF(G132=H132,"P",IF(G132&lt;&gt;H132,"O"))))</f>
        <v>P</v>
      </c>
      <c r="M132" s="465">
        <f>IF(K132="AV",MAX($M$12:M131)+1,0)</f>
        <v>0</v>
      </c>
      <c r="N132" s="458">
        <f>IF(K132="IT",MAX($N$12:N131)+1,0)</f>
        <v>28</v>
      </c>
      <c r="O132" s="458">
        <f>IF(K132="IT2",MAX($O$12:O131)+1,0)</f>
        <v>0</v>
      </c>
      <c r="P132" s="458">
        <f>IF(K132="ITP",MAX($P$12:P131)+1,0)</f>
        <v>0</v>
      </c>
      <c r="Q132" s="458">
        <f>IF(K132="C6",MAX($Q$12:Q131)+1,0)</f>
        <v>0</v>
      </c>
      <c r="R132" s="354"/>
      <c r="S132" s="348" t="str">
        <f t="shared" ref="S132:S138" si="116">IF(F132="Pago",B132,"")</f>
        <v/>
      </c>
      <c r="T132" s="308"/>
      <c r="U132" s="471">
        <v>51</v>
      </c>
      <c r="V132" s="468">
        <f t="shared" si="96"/>
        <v>0</v>
      </c>
      <c r="W132" s="468">
        <f t="shared" si="97"/>
        <v>0</v>
      </c>
      <c r="X132" s="468">
        <f t="shared" si="98"/>
        <v>0</v>
      </c>
      <c r="Y132" s="468">
        <f t="shared" si="99"/>
        <v>0</v>
      </c>
      <c r="Z132" s="468">
        <f t="shared" si="100"/>
        <v>0</v>
      </c>
      <c r="AA132" s="474"/>
      <c r="AB132" s="308"/>
      <c r="AC132" s="308"/>
      <c r="AD132" s="497"/>
      <c r="AE132" s="308"/>
      <c r="AF132" s="199" t="str">
        <f t="shared" ref="AF132:AF151" si="117">IFERROR(VLOOKUP(AG132,$G$12:$G$239,1,0),"")</f>
        <v/>
      </c>
      <c r="AG132" s="319" t="str">
        <f t="shared" si="50"/>
        <v/>
      </c>
      <c r="AH132" s="114" t="str">
        <f t="shared" si="51"/>
        <v/>
      </c>
      <c r="AI132" s="99" t="str">
        <f t="shared" ref="AI132:AI151" si="118">IF(AG132="","",IFERROR(VLOOKUP(AG132,$H$12:$I$239,2,0),""))</f>
        <v/>
      </c>
      <c r="AJ132" s="103"/>
      <c r="AK132" s="109"/>
      <c r="AL132" s="101"/>
      <c r="AM132" s="568" t="s">
        <v>99</v>
      </c>
      <c r="AP132" s="5"/>
    </row>
    <row r="133" spans="2:42" ht="15" customHeight="1">
      <c r="B133" s="337">
        <v>354</v>
      </c>
      <c r="C133" s="191">
        <v>46296</v>
      </c>
      <c r="D133" s="74" t="s">
        <v>345</v>
      </c>
      <c r="E133" s="58">
        <f t="shared" si="111"/>
        <v>354</v>
      </c>
      <c r="F133" s="351" t="s">
        <v>135</v>
      </c>
      <c r="G133" s="343">
        <f t="shared" ref="G133:G138" si="119">IF(B133="","",B133+C133)</f>
        <v>46650</v>
      </c>
      <c r="H133" s="343">
        <f t="shared" si="113"/>
        <v>46650</v>
      </c>
      <c r="I133" s="343" t="str">
        <f t="shared" si="114"/>
        <v>CARRO</v>
      </c>
      <c r="J133" s="383" t="s">
        <v>94</v>
      </c>
      <c r="K133" s="351" t="s">
        <v>90</v>
      </c>
      <c r="L133" s="384" t="str">
        <f t="shared" si="115"/>
        <v>P</v>
      </c>
      <c r="M133" s="465">
        <f>IF(K133="AV",MAX($M$12:M132)+1,0)</f>
        <v>0</v>
      </c>
      <c r="N133" s="458">
        <f>IF(K133="IT",MAX($N$12:N132)+1,0)</f>
        <v>29</v>
      </c>
      <c r="O133" s="458">
        <f>IF(K133="IT2",MAX($O$12:O132)+1,0)</f>
        <v>0</v>
      </c>
      <c r="P133" s="458">
        <f>IF(K133="ITP",MAX($P$12:P132)+1,0)</f>
        <v>0</v>
      </c>
      <c r="Q133" s="458">
        <f>IF(K133="C6",MAX($Q$12:Q132)+1,0)</f>
        <v>0</v>
      </c>
      <c r="R133" s="354" t="s">
        <v>239</v>
      </c>
      <c r="S133" s="348" t="str">
        <f t="shared" si="116"/>
        <v/>
      </c>
      <c r="T133" s="308"/>
      <c r="U133" s="471">
        <v>52</v>
      </c>
      <c r="V133" s="468">
        <f t="shared" si="96"/>
        <v>0</v>
      </c>
      <c r="W133" s="468">
        <f t="shared" si="97"/>
        <v>0</v>
      </c>
      <c r="X133" s="468">
        <f t="shared" si="98"/>
        <v>0</v>
      </c>
      <c r="Y133" s="468">
        <f t="shared" si="99"/>
        <v>0</v>
      </c>
      <c r="Z133" s="468">
        <f t="shared" si="100"/>
        <v>0</v>
      </c>
      <c r="AA133" s="474"/>
      <c r="AB133" s="308"/>
      <c r="AC133" s="308"/>
      <c r="AD133" s="497"/>
      <c r="AE133" s="308"/>
      <c r="AF133" s="200" t="str">
        <f t="shared" si="117"/>
        <v/>
      </c>
      <c r="AG133" s="320" t="str">
        <f t="shared" si="50"/>
        <v/>
      </c>
      <c r="AH133" s="33" t="str">
        <f t="shared" si="51"/>
        <v/>
      </c>
      <c r="AI133" s="99" t="str">
        <f t="shared" si="118"/>
        <v/>
      </c>
      <c r="AJ133" s="103"/>
      <c r="AK133" s="109"/>
      <c r="AL133" s="101"/>
      <c r="AM133" s="569"/>
      <c r="AP133" s="5"/>
    </row>
    <row r="134" spans="2:42" ht="15" customHeight="1">
      <c r="B134" s="337">
        <v>33.33</v>
      </c>
      <c r="C134" s="191">
        <v>46318</v>
      </c>
      <c r="D134" s="74" t="s">
        <v>458</v>
      </c>
      <c r="E134" s="58">
        <f t="shared" si="111"/>
        <v>33.33</v>
      </c>
      <c r="F134" s="351" t="s">
        <v>135</v>
      </c>
      <c r="G134" s="343">
        <f t="shared" si="119"/>
        <v>46351.33</v>
      </c>
      <c r="H134" s="343">
        <f t="shared" si="113"/>
        <v>46351.33</v>
      </c>
      <c r="I134" s="343" t="str">
        <f t="shared" si="114"/>
        <v>CARRO</v>
      </c>
      <c r="J134" s="383" t="s">
        <v>94</v>
      </c>
      <c r="K134" s="351" t="s">
        <v>8</v>
      </c>
      <c r="L134" s="384" t="str">
        <f t="shared" si="115"/>
        <v>P</v>
      </c>
      <c r="M134" s="465">
        <f>IF(K134="AV",MAX($M$12:M133)+1,0)</f>
        <v>0</v>
      </c>
      <c r="N134" s="458">
        <f>IF(K134="IT",MAX($N$12:N133)+1,0)</f>
        <v>0</v>
      </c>
      <c r="O134" s="458">
        <f>IF(K134="IT2",MAX($O$12:O133)+1,0)</f>
        <v>0</v>
      </c>
      <c r="P134" s="458">
        <f>IF(K134="ITP",MAX($P$12:P133)+1,0)</f>
        <v>0</v>
      </c>
      <c r="Q134" s="458">
        <f>IF(K134="C6",MAX($Q$12:Q133)+1,0)</f>
        <v>4</v>
      </c>
      <c r="R134" s="352" t="s">
        <v>279</v>
      </c>
      <c r="S134" s="348" t="str">
        <f t="shared" si="116"/>
        <v/>
      </c>
      <c r="T134" s="308"/>
      <c r="U134" s="471">
        <v>53</v>
      </c>
      <c r="V134" s="468">
        <f t="shared" si="96"/>
        <v>0</v>
      </c>
      <c r="W134" s="468">
        <f t="shared" si="97"/>
        <v>0</v>
      </c>
      <c r="X134" s="468">
        <f t="shared" si="98"/>
        <v>0</v>
      </c>
      <c r="Y134" s="468">
        <f t="shared" si="99"/>
        <v>0</v>
      </c>
      <c r="Z134" s="468">
        <f t="shared" si="100"/>
        <v>0</v>
      </c>
      <c r="AA134" s="474"/>
      <c r="AB134" s="308"/>
      <c r="AC134" s="308"/>
      <c r="AD134" s="497"/>
      <c r="AE134" s="308"/>
      <c r="AF134" s="200" t="str">
        <f t="shared" si="117"/>
        <v/>
      </c>
      <c r="AG134" s="320" t="str">
        <f t="shared" ref="AG134:AG173" si="120">IF(AL134="","",AJ134+AL134)</f>
        <v/>
      </c>
      <c r="AH134" s="33" t="str">
        <f t="shared" ref="AH134:AH173" si="121">IF(AND(AF134="",AG134=""),"",IF(AF134=AG134,"P",IF(AF134&lt;&gt;AG134,"O")))</f>
        <v/>
      </c>
      <c r="AI134" s="99" t="str">
        <f t="shared" si="118"/>
        <v/>
      </c>
      <c r="AJ134" s="103"/>
      <c r="AK134" s="109"/>
      <c r="AL134" s="101"/>
      <c r="AM134" s="569"/>
      <c r="AP134" s="5"/>
    </row>
    <row r="135" spans="2:42" ht="15" customHeight="1">
      <c r="B135" s="337"/>
      <c r="C135" s="191"/>
      <c r="D135" s="74"/>
      <c r="E135" s="58" t="str">
        <f t="shared" si="111"/>
        <v/>
      </c>
      <c r="F135" s="351"/>
      <c r="G135" s="343" t="str">
        <f t="shared" si="119"/>
        <v/>
      </c>
      <c r="H135" s="343" t="str">
        <f t="shared" si="113"/>
        <v/>
      </c>
      <c r="I135" s="343" t="str">
        <f t="shared" si="114"/>
        <v/>
      </c>
      <c r="J135" s="383"/>
      <c r="K135" s="351"/>
      <c r="L135" s="384" t="str">
        <f t="shared" si="115"/>
        <v/>
      </c>
      <c r="M135" s="465">
        <f>IF(K135="AV",MAX($M$12:M134)+1,0)</f>
        <v>0</v>
      </c>
      <c r="N135" s="458">
        <f>IF(K135="IT",MAX($N$12:N134)+1,0)</f>
        <v>0</v>
      </c>
      <c r="O135" s="458">
        <f>IF(K135="IT2",MAX($O$12:O134)+1,0)</f>
        <v>0</v>
      </c>
      <c r="P135" s="458">
        <f>IF(K135="ITP",MAX($P$12:P134)+1,0)</f>
        <v>0</v>
      </c>
      <c r="Q135" s="458">
        <f>IF(K135="C6",MAX($Q$12:Q134)+1,0)</f>
        <v>0</v>
      </c>
      <c r="R135" s="352"/>
      <c r="S135" s="348" t="str">
        <f t="shared" si="116"/>
        <v/>
      </c>
      <c r="T135" s="308"/>
      <c r="U135" s="471">
        <v>54</v>
      </c>
      <c r="V135" s="468">
        <f t="shared" si="96"/>
        <v>0</v>
      </c>
      <c r="W135" s="468">
        <f t="shared" si="97"/>
        <v>0</v>
      </c>
      <c r="X135" s="468">
        <f t="shared" si="98"/>
        <v>0</v>
      </c>
      <c r="Y135" s="468">
        <f t="shared" si="99"/>
        <v>0</v>
      </c>
      <c r="Z135" s="468">
        <f t="shared" si="100"/>
        <v>0</v>
      </c>
      <c r="AA135" s="474"/>
      <c r="AB135" s="308"/>
      <c r="AC135" s="308"/>
      <c r="AD135" s="497"/>
      <c r="AE135" s="308"/>
      <c r="AF135" s="200" t="str">
        <f t="shared" si="117"/>
        <v/>
      </c>
      <c r="AG135" s="320" t="str">
        <f t="shared" si="120"/>
        <v/>
      </c>
      <c r="AH135" s="33" t="str">
        <f t="shared" si="121"/>
        <v/>
      </c>
      <c r="AI135" s="99" t="str">
        <f t="shared" si="118"/>
        <v/>
      </c>
      <c r="AJ135" s="121"/>
      <c r="AK135" s="42"/>
      <c r="AL135" s="163"/>
      <c r="AM135" s="48"/>
      <c r="AP135" s="5"/>
    </row>
    <row r="136" spans="2:42" ht="15" customHeight="1">
      <c r="B136" s="337"/>
      <c r="C136" s="191"/>
      <c r="D136" s="74"/>
      <c r="E136" s="58" t="str">
        <f t="shared" si="111"/>
        <v/>
      </c>
      <c r="F136" s="351"/>
      <c r="G136" s="343" t="str">
        <f t="shared" si="119"/>
        <v/>
      </c>
      <c r="H136" s="343" t="str">
        <f t="shared" si="113"/>
        <v/>
      </c>
      <c r="I136" s="343" t="str">
        <f t="shared" si="114"/>
        <v/>
      </c>
      <c r="J136" s="383"/>
      <c r="K136" s="351"/>
      <c r="L136" s="384" t="str">
        <f t="shared" si="115"/>
        <v/>
      </c>
      <c r="M136" s="465">
        <f>IF(K136="AV",MAX($M$12:M135)+1,0)</f>
        <v>0</v>
      </c>
      <c r="N136" s="458">
        <f>IF(K136="IT",MAX($N$12:N135)+1,0)</f>
        <v>0</v>
      </c>
      <c r="O136" s="458">
        <f>IF(K136="IT2",MAX($O$12:O135)+1,0)</f>
        <v>0</v>
      </c>
      <c r="P136" s="458">
        <f>IF(K136="ITP",MAX($P$12:P135)+1,0)</f>
        <v>0</v>
      </c>
      <c r="Q136" s="458">
        <f>IF(K136="C6",MAX($Q$12:Q135)+1,0)</f>
        <v>0</v>
      </c>
      <c r="R136" s="352"/>
      <c r="S136" s="348" t="str">
        <f t="shared" si="116"/>
        <v/>
      </c>
      <c r="T136" s="308"/>
      <c r="U136" s="471">
        <v>55</v>
      </c>
      <c r="V136" s="468">
        <f t="shared" si="96"/>
        <v>0</v>
      </c>
      <c r="W136" s="468">
        <f t="shared" si="97"/>
        <v>0</v>
      </c>
      <c r="X136" s="468">
        <f t="shared" si="98"/>
        <v>0</v>
      </c>
      <c r="Y136" s="468">
        <f t="shared" si="99"/>
        <v>0</v>
      </c>
      <c r="Z136" s="468">
        <f t="shared" si="100"/>
        <v>0</v>
      </c>
      <c r="AA136" s="474"/>
      <c r="AB136" s="308"/>
      <c r="AC136" s="308"/>
      <c r="AD136" s="497"/>
      <c r="AE136" s="308"/>
      <c r="AF136" s="200" t="str">
        <f t="shared" si="117"/>
        <v/>
      </c>
      <c r="AG136" s="320" t="str">
        <f t="shared" si="120"/>
        <v/>
      </c>
      <c r="AH136" s="33" t="str">
        <f t="shared" si="121"/>
        <v/>
      </c>
      <c r="AI136" s="99" t="str">
        <f t="shared" si="118"/>
        <v/>
      </c>
      <c r="AJ136" s="121"/>
      <c r="AK136" s="42"/>
      <c r="AL136" s="163"/>
      <c r="AM136" s="48"/>
      <c r="AP136" s="5"/>
    </row>
    <row r="137" spans="2:42" ht="15" customHeight="1">
      <c r="B137" s="337"/>
      <c r="C137" s="191"/>
      <c r="D137" s="74"/>
      <c r="E137" s="58" t="str">
        <f t="shared" ref="E137:E138" si="122">IF(OR(B137="",F137="Pago"),"",B137)</f>
        <v/>
      </c>
      <c r="F137" s="351"/>
      <c r="G137" s="343" t="str">
        <f t="shared" si="119"/>
        <v/>
      </c>
      <c r="H137" s="343" t="str">
        <f t="shared" si="113"/>
        <v/>
      </c>
      <c r="I137" s="343" t="str">
        <f t="shared" si="114"/>
        <v/>
      </c>
      <c r="J137" s="383"/>
      <c r="K137" s="351"/>
      <c r="L137" s="384" t="str">
        <f t="shared" si="115"/>
        <v/>
      </c>
      <c r="M137" s="465">
        <f>IF(K137="AV",MAX($M$12:M136)+1,0)</f>
        <v>0</v>
      </c>
      <c r="N137" s="458">
        <f>IF(K137="IT",MAX($N$12:N136)+1,0)</f>
        <v>0</v>
      </c>
      <c r="O137" s="458">
        <f>IF(K137="IT2",MAX($O$12:O136)+1,0)</f>
        <v>0</v>
      </c>
      <c r="P137" s="458">
        <f>IF(K137="ITP",MAX($P$12:P136)+1,0)</f>
        <v>0</v>
      </c>
      <c r="Q137" s="458">
        <f>IF(K137="C6",MAX($Q$12:Q136)+1,0)</f>
        <v>0</v>
      </c>
      <c r="R137" s="352"/>
      <c r="S137" s="348" t="str">
        <f t="shared" si="116"/>
        <v/>
      </c>
      <c r="T137" s="308"/>
      <c r="U137" s="471">
        <v>56</v>
      </c>
      <c r="V137" s="468">
        <f t="shared" si="96"/>
        <v>0</v>
      </c>
      <c r="W137" s="468">
        <f t="shared" si="97"/>
        <v>0</v>
      </c>
      <c r="X137" s="468">
        <f t="shared" si="98"/>
        <v>0</v>
      </c>
      <c r="Y137" s="468">
        <f t="shared" si="99"/>
        <v>0</v>
      </c>
      <c r="Z137" s="468">
        <f t="shared" si="100"/>
        <v>0</v>
      </c>
      <c r="AA137" s="474"/>
      <c r="AB137" s="308"/>
      <c r="AC137" s="308"/>
      <c r="AD137" s="497"/>
      <c r="AE137" s="308"/>
      <c r="AF137" s="200" t="str">
        <f t="shared" si="117"/>
        <v/>
      </c>
      <c r="AG137" s="320" t="str">
        <f t="shared" si="120"/>
        <v/>
      </c>
      <c r="AH137" s="33" t="str">
        <f t="shared" si="121"/>
        <v/>
      </c>
      <c r="AI137" s="99" t="str">
        <f t="shared" si="118"/>
        <v/>
      </c>
      <c r="AJ137" s="121"/>
      <c r="AK137" s="42"/>
      <c r="AL137" s="163"/>
      <c r="AM137" s="48"/>
      <c r="AP137" s="5"/>
    </row>
    <row r="138" spans="2:42" ht="15" customHeight="1">
      <c r="B138" s="338"/>
      <c r="C138" s="215"/>
      <c r="D138" s="66"/>
      <c r="E138" s="67" t="str">
        <f t="shared" si="122"/>
        <v/>
      </c>
      <c r="F138" s="356"/>
      <c r="G138" s="343" t="str">
        <f t="shared" si="119"/>
        <v/>
      </c>
      <c r="H138" s="343" t="str">
        <f t="shared" si="113"/>
        <v/>
      </c>
      <c r="I138" s="343" t="str">
        <f t="shared" si="114"/>
        <v/>
      </c>
      <c r="J138" s="357"/>
      <c r="K138" s="356"/>
      <c r="L138" s="384" t="str">
        <f t="shared" si="115"/>
        <v/>
      </c>
      <c r="M138" s="466">
        <f>IF(K138="AV",MAX($M$12:M137)+1,0)</f>
        <v>0</v>
      </c>
      <c r="N138" s="459">
        <f>IF(K138="IT",MAX($N$12:N137)+1,0)</f>
        <v>0</v>
      </c>
      <c r="O138" s="459">
        <f>IF(K138="IT2",MAX($O$12:O137)+1,0)</f>
        <v>0</v>
      </c>
      <c r="P138" s="459">
        <f>IF(K138="ITP",MAX($P$12:P137)+1,0)</f>
        <v>0</v>
      </c>
      <c r="Q138" s="459">
        <f>IF(K138="C6",MAX($Q$12:Q137)+1,0)</f>
        <v>0</v>
      </c>
      <c r="R138" s="360"/>
      <c r="S138" s="349" t="str">
        <f t="shared" si="116"/>
        <v/>
      </c>
      <c r="T138" s="308"/>
      <c r="U138" s="471">
        <v>57</v>
      </c>
      <c r="V138" s="468">
        <f t="shared" si="96"/>
        <v>0</v>
      </c>
      <c r="W138" s="468">
        <f t="shared" si="97"/>
        <v>0</v>
      </c>
      <c r="X138" s="468">
        <f t="shared" si="98"/>
        <v>0</v>
      </c>
      <c r="Y138" s="468">
        <f t="shared" si="99"/>
        <v>0</v>
      </c>
      <c r="Z138" s="468">
        <f t="shared" si="100"/>
        <v>0</v>
      </c>
      <c r="AA138" s="474"/>
      <c r="AB138" s="308"/>
      <c r="AC138" s="308"/>
      <c r="AD138" s="497"/>
      <c r="AE138" s="308"/>
      <c r="AF138" s="200" t="str">
        <f t="shared" si="117"/>
        <v/>
      </c>
      <c r="AG138" s="320" t="str">
        <f t="shared" si="120"/>
        <v/>
      </c>
      <c r="AH138" s="33" t="str">
        <f t="shared" si="121"/>
        <v/>
      </c>
      <c r="AI138" s="99" t="str">
        <f t="shared" si="118"/>
        <v/>
      </c>
      <c r="AJ138" s="121"/>
      <c r="AK138" s="42"/>
      <c r="AL138" s="163"/>
      <c r="AM138" s="48"/>
      <c r="AP138" s="5"/>
    </row>
    <row r="139" spans="2:42" ht="15" customHeight="1">
      <c r="B139" s="308"/>
      <c r="C139" s="308"/>
      <c r="D139" s="308"/>
      <c r="E139" s="308"/>
      <c r="F139" s="308"/>
      <c r="G139" s="308"/>
      <c r="H139" s="308"/>
      <c r="I139" s="308"/>
      <c r="J139" s="308"/>
      <c r="K139" s="308"/>
      <c r="L139" s="308"/>
      <c r="M139" s="308"/>
      <c r="N139" s="308"/>
      <c r="O139" s="308"/>
      <c r="P139" s="308"/>
      <c r="Q139" s="308"/>
      <c r="R139" s="308"/>
      <c r="S139" s="308"/>
      <c r="T139" s="308"/>
      <c r="U139" s="471">
        <v>58</v>
      </c>
      <c r="V139" s="468">
        <f t="shared" si="96"/>
        <v>0</v>
      </c>
      <c r="W139" s="468">
        <f t="shared" si="97"/>
        <v>0</v>
      </c>
      <c r="X139" s="468">
        <f t="shared" si="98"/>
        <v>0</v>
      </c>
      <c r="Y139" s="468">
        <f t="shared" si="99"/>
        <v>0</v>
      </c>
      <c r="Z139" s="468">
        <f t="shared" si="100"/>
        <v>0</v>
      </c>
      <c r="AA139" s="474"/>
      <c r="AB139" s="308"/>
      <c r="AC139" s="308"/>
      <c r="AD139" s="497"/>
      <c r="AE139" s="308"/>
      <c r="AF139" s="200" t="str">
        <f t="shared" si="117"/>
        <v/>
      </c>
      <c r="AG139" s="320" t="str">
        <f t="shared" si="120"/>
        <v/>
      </c>
      <c r="AH139" s="33" t="str">
        <f t="shared" si="121"/>
        <v/>
      </c>
      <c r="AI139" s="99" t="str">
        <f t="shared" si="118"/>
        <v/>
      </c>
      <c r="AJ139" s="121"/>
      <c r="AK139" s="42"/>
      <c r="AL139" s="163"/>
      <c r="AM139" s="48"/>
      <c r="AP139" s="5"/>
    </row>
    <row r="140" spans="2:42" ht="15" customHeight="1">
      <c r="B140" s="545" t="s">
        <v>31</v>
      </c>
      <c r="C140" s="546"/>
      <c r="D140" s="547"/>
      <c r="E140" s="551">
        <f>SUM(E142:E173)</f>
        <v>0</v>
      </c>
      <c r="F140" s="552"/>
      <c r="G140" s="322"/>
      <c r="H140" s="220"/>
      <c r="I140" s="342" t="str">
        <f t="shared" si="55"/>
        <v/>
      </c>
      <c r="J140" s="555">
        <f>SUM(S142:S173)</f>
        <v>0</v>
      </c>
      <c r="K140" s="555"/>
      <c r="L140" s="556"/>
      <c r="M140" s="460"/>
      <c r="N140" s="456"/>
      <c r="O140" s="456"/>
      <c r="P140" s="456"/>
      <c r="Q140" s="461"/>
      <c r="R140" s="559">
        <f>SUM(E140,J140)</f>
        <v>0</v>
      </c>
      <c r="S140" s="560"/>
      <c r="T140" s="308"/>
      <c r="U140" s="471">
        <v>59</v>
      </c>
      <c r="V140" s="468">
        <f t="shared" si="96"/>
        <v>0</v>
      </c>
      <c r="W140" s="468">
        <f t="shared" si="97"/>
        <v>0</v>
      </c>
      <c r="X140" s="468">
        <f t="shared" si="98"/>
        <v>0</v>
      </c>
      <c r="Y140" s="468">
        <f t="shared" si="99"/>
        <v>0</v>
      </c>
      <c r="Z140" s="468">
        <f t="shared" si="100"/>
        <v>0</v>
      </c>
      <c r="AA140" s="474"/>
      <c r="AB140" s="308"/>
      <c r="AC140" s="308"/>
      <c r="AD140" s="497"/>
      <c r="AE140" s="308"/>
      <c r="AF140" s="200" t="str">
        <f t="shared" si="117"/>
        <v/>
      </c>
      <c r="AG140" s="320" t="str">
        <f t="shared" si="120"/>
        <v/>
      </c>
      <c r="AH140" s="33" t="str">
        <f t="shared" si="121"/>
        <v/>
      </c>
      <c r="AI140" s="99" t="str">
        <f t="shared" si="118"/>
        <v/>
      </c>
      <c r="AJ140" s="121"/>
      <c r="AK140" s="42"/>
      <c r="AL140" s="163"/>
      <c r="AM140" s="48"/>
      <c r="AP140" s="5"/>
    </row>
    <row r="141" spans="2:42" ht="15" customHeight="1">
      <c r="B141" s="548"/>
      <c r="C141" s="549"/>
      <c r="D141" s="550"/>
      <c r="E141" s="553"/>
      <c r="F141" s="554"/>
      <c r="G141" s="323"/>
      <c r="H141" s="222"/>
      <c r="I141" s="346" t="str">
        <f t="shared" ref="I141:I190" si="123">IF(H141="","","FIXO")</f>
        <v/>
      </c>
      <c r="J141" s="557"/>
      <c r="K141" s="557"/>
      <c r="L141" s="558"/>
      <c r="M141" s="462"/>
      <c r="N141" s="457"/>
      <c r="O141" s="457"/>
      <c r="P141" s="457"/>
      <c r="Q141" s="463"/>
      <c r="R141" s="561"/>
      <c r="S141" s="562"/>
      <c r="T141" s="308"/>
      <c r="U141" s="471">
        <v>60</v>
      </c>
      <c r="V141" s="468">
        <f t="shared" si="96"/>
        <v>0</v>
      </c>
      <c r="W141" s="468">
        <f t="shared" si="97"/>
        <v>0</v>
      </c>
      <c r="X141" s="468">
        <f t="shared" si="98"/>
        <v>0</v>
      </c>
      <c r="Y141" s="468">
        <f t="shared" si="99"/>
        <v>0</v>
      </c>
      <c r="Z141" s="468">
        <f t="shared" si="100"/>
        <v>0</v>
      </c>
      <c r="AA141" s="474"/>
      <c r="AB141" s="308"/>
      <c r="AC141" s="308"/>
      <c r="AD141" s="497"/>
      <c r="AE141" s="308"/>
      <c r="AF141" s="200" t="str">
        <f t="shared" si="117"/>
        <v/>
      </c>
      <c r="AG141" s="320" t="str">
        <f t="shared" si="120"/>
        <v/>
      </c>
      <c r="AH141" s="33" t="str">
        <f t="shared" si="121"/>
        <v/>
      </c>
      <c r="AI141" s="99" t="str">
        <f t="shared" si="118"/>
        <v/>
      </c>
      <c r="AJ141" s="121"/>
      <c r="AK141" s="42"/>
      <c r="AL141" s="163"/>
      <c r="AM141" s="48"/>
      <c r="AP141" s="5"/>
    </row>
    <row r="142" spans="2:42" ht="15" customHeight="1">
      <c r="B142" s="337"/>
      <c r="C142" s="191"/>
      <c r="D142" s="74"/>
      <c r="E142" s="58"/>
      <c r="F142" s="351"/>
      <c r="G142" s="343"/>
      <c r="H142" s="344"/>
      <c r="I142" s="343" t="str">
        <f>IF(H142="","","FEIRA")</f>
        <v/>
      </c>
      <c r="J142" s="383"/>
      <c r="K142" s="351"/>
      <c r="L142" s="384"/>
      <c r="M142" s="465">
        <f>IF(K142="AV",MAX($M$12:M141)+1,0)</f>
        <v>0</v>
      </c>
      <c r="N142" s="458">
        <f>IF(K142="IT",MAX($N$12:N141)+1,0)</f>
        <v>0</v>
      </c>
      <c r="O142" s="458">
        <f>IF(K142="IT2",MAX($O$12:O141)+1,0)</f>
        <v>0</v>
      </c>
      <c r="P142" s="458">
        <f>IF(K142="ITP",MAX($P$12:P141)+1,0)</f>
        <v>0</v>
      </c>
      <c r="Q142" s="458">
        <f>IF(K142="C6",MAX($Q$12:Q141)+1,0)</f>
        <v>0</v>
      </c>
      <c r="R142" s="354"/>
      <c r="S142" s="348" t="str">
        <f t="shared" ref="S142:S149" si="124">IF(F142="Pago",B142,"")</f>
        <v/>
      </c>
      <c r="T142" s="308"/>
      <c r="U142" s="471">
        <v>61</v>
      </c>
      <c r="V142" s="468">
        <f t="shared" si="96"/>
        <v>0</v>
      </c>
      <c r="W142" s="468">
        <f t="shared" si="97"/>
        <v>0</v>
      </c>
      <c r="X142" s="468">
        <f t="shared" si="98"/>
        <v>0</v>
      </c>
      <c r="Y142" s="468">
        <f t="shared" si="99"/>
        <v>0</v>
      </c>
      <c r="Z142" s="468">
        <f t="shared" si="100"/>
        <v>0</v>
      </c>
      <c r="AA142" s="474"/>
      <c r="AB142" s="308"/>
      <c r="AC142" s="308"/>
      <c r="AD142" s="497"/>
      <c r="AE142" s="308"/>
      <c r="AF142" s="200" t="str">
        <f t="shared" si="117"/>
        <v/>
      </c>
      <c r="AG142" s="320" t="str">
        <f t="shared" si="120"/>
        <v/>
      </c>
      <c r="AH142" s="33" t="str">
        <f t="shared" si="121"/>
        <v/>
      </c>
      <c r="AI142" s="99" t="str">
        <f t="shared" si="118"/>
        <v/>
      </c>
      <c r="AJ142" s="121"/>
      <c r="AK142" s="42"/>
      <c r="AL142" s="163"/>
      <c r="AM142" s="48"/>
      <c r="AP142" s="5"/>
    </row>
    <row r="143" spans="2:42" ht="15" customHeight="1">
      <c r="B143" s="337"/>
      <c r="C143" s="191"/>
      <c r="D143" s="74"/>
      <c r="E143" s="58" t="str">
        <f t="shared" ref="E143:E149" si="125">IF(OR(B143="",F143="Pago"),"",B143)</f>
        <v/>
      </c>
      <c r="F143" s="351"/>
      <c r="G143" s="343" t="str">
        <f t="shared" ref="G143:G149" si="126">IF(B143="","",B143+C143)</f>
        <v/>
      </c>
      <c r="H143" s="344" t="str">
        <f t="shared" ref="H143:H173" si="127">IFERROR(VLOOKUP(G143,$AG$5:$AG$174,1,0),"")</f>
        <v/>
      </c>
      <c r="I143" s="343" t="str">
        <f t="shared" ref="I143:I173" si="128">IF(H143="","","FEIRA")</f>
        <v/>
      </c>
      <c r="J143" s="383"/>
      <c r="K143" s="351"/>
      <c r="L143" s="384" t="str">
        <f t="shared" ref="L143:L149" si="129">IF(K143="AV","8",IF(AND(G143="",H143=""),"",IF(G143=H143,"P",IF(G143&lt;&gt;H143,"O"))))</f>
        <v/>
      </c>
      <c r="M143" s="465">
        <f>IF(K143="AV",MAX($M$12:M142)+1,0)</f>
        <v>0</v>
      </c>
      <c r="N143" s="458">
        <f>IF(K143="IT",MAX($N$12:N142)+1,0)</f>
        <v>0</v>
      </c>
      <c r="O143" s="458">
        <f>IF(K143="IT2",MAX($O$12:O142)+1,0)</f>
        <v>0</v>
      </c>
      <c r="P143" s="458">
        <f>IF(K143="ITP",MAX($P$12:P142)+1,0)</f>
        <v>0</v>
      </c>
      <c r="Q143" s="458">
        <f>IF(K143="C6",MAX($Q$12:Q142)+1,0)</f>
        <v>0</v>
      </c>
      <c r="R143" s="354"/>
      <c r="S143" s="348" t="str">
        <f t="shared" si="124"/>
        <v/>
      </c>
      <c r="T143" s="308"/>
      <c r="U143" s="471">
        <v>62</v>
      </c>
      <c r="V143" s="468">
        <f t="shared" si="96"/>
        <v>0</v>
      </c>
      <c r="W143" s="468">
        <f t="shared" si="97"/>
        <v>0</v>
      </c>
      <c r="X143" s="468">
        <f t="shared" si="98"/>
        <v>0</v>
      </c>
      <c r="Y143" s="468">
        <f t="shared" si="99"/>
        <v>0</v>
      </c>
      <c r="Z143" s="468">
        <f t="shared" si="100"/>
        <v>0</v>
      </c>
      <c r="AA143" s="474"/>
      <c r="AB143" s="308"/>
      <c r="AC143" s="308"/>
      <c r="AD143" s="497"/>
      <c r="AE143" s="308"/>
      <c r="AF143" s="200" t="str">
        <f t="shared" si="117"/>
        <v/>
      </c>
      <c r="AG143" s="320" t="str">
        <f t="shared" si="120"/>
        <v/>
      </c>
      <c r="AH143" s="33" t="str">
        <f t="shared" si="121"/>
        <v/>
      </c>
      <c r="AI143" s="99" t="str">
        <f t="shared" si="118"/>
        <v/>
      </c>
      <c r="AJ143" s="121"/>
      <c r="AK143" s="42"/>
      <c r="AL143" s="163"/>
      <c r="AM143" s="48"/>
      <c r="AP143" s="5"/>
    </row>
    <row r="144" spans="2:42" ht="15" customHeight="1">
      <c r="B144" s="337"/>
      <c r="C144" s="191"/>
      <c r="D144" s="74"/>
      <c r="E144" s="58" t="str">
        <f t="shared" si="125"/>
        <v/>
      </c>
      <c r="F144" s="351"/>
      <c r="G144" s="343" t="str">
        <f t="shared" si="126"/>
        <v/>
      </c>
      <c r="H144" s="344" t="str">
        <f t="shared" si="127"/>
        <v/>
      </c>
      <c r="I144" s="343" t="str">
        <f t="shared" si="128"/>
        <v/>
      </c>
      <c r="J144" s="383"/>
      <c r="K144" s="351"/>
      <c r="L144" s="384" t="str">
        <f t="shared" si="129"/>
        <v/>
      </c>
      <c r="M144" s="465">
        <f>IF(K144="AV",MAX($M$12:M143)+1,0)</f>
        <v>0</v>
      </c>
      <c r="N144" s="458">
        <f>IF(K144="IT",MAX($N$12:N143)+1,0)</f>
        <v>0</v>
      </c>
      <c r="O144" s="458">
        <f>IF(K144="IT2",MAX($O$12:O143)+1,0)</f>
        <v>0</v>
      </c>
      <c r="P144" s="458">
        <f>IF(K144="ITP",MAX($P$12:P143)+1,0)</f>
        <v>0</v>
      </c>
      <c r="Q144" s="458">
        <f>IF(K144="C6",MAX($Q$12:Q143)+1,0)</f>
        <v>0</v>
      </c>
      <c r="R144" s="354"/>
      <c r="S144" s="348" t="str">
        <f t="shared" si="124"/>
        <v/>
      </c>
      <c r="T144" s="308"/>
      <c r="U144" s="471">
        <v>63</v>
      </c>
      <c r="V144" s="468">
        <f t="shared" si="96"/>
        <v>0</v>
      </c>
      <c r="W144" s="468">
        <f t="shared" si="97"/>
        <v>0</v>
      </c>
      <c r="X144" s="468">
        <f t="shared" si="98"/>
        <v>0</v>
      </c>
      <c r="Y144" s="468">
        <f t="shared" si="99"/>
        <v>0</v>
      </c>
      <c r="Z144" s="468">
        <f t="shared" si="100"/>
        <v>0</v>
      </c>
      <c r="AA144" s="474"/>
      <c r="AB144" s="308"/>
      <c r="AC144" s="308"/>
      <c r="AD144" s="497"/>
      <c r="AE144" s="308"/>
      <c r="AF144" s="200" t="str">
        <f t="shared" si="117"/>
        <v/>
      </c>
      <c r="AG144" s="320" t="str">
        <f t="shared" si="120"/>
        <v/>
      </c>
      <c r="AH144" s="33" t="str">
        <f t="shared" si="121"/>
        <v/>
      </c>
      <c r="AI144" s="99" t="str">
        <f t="shared" si="118"/>
        <v/>
      </c>
      <c r="AJ144" s="121"/>
      <c r="AK144" s="42"/>
      <c r="AL144" s="163"/>
      <c r="AM144" s="48"/>
      <c r="AP144" s="5"/>
    </row>
    <row r="145" spans="2:42" ht="15" customHeight="1">
      <c r="B145" s="337"/>
      <c r="C145" s="191"/>
      <c r="D145" s="74"/>
      <c r="E145" s="58" t="str">
        <f t="shared" si="125"/>
        <v/>
      </c>
      <c r="F145" s="351"/>
      <c r="G145" s="343" t="str">
        <f t="shared" si="126"/>
        <v/>
      </c>
      <c r="H145" s="344" t="str">
        <f t="shared" si="127"/>
        <v/>
      </c>
      <c r="I145" s="343" t="str">
        <f t="shared" si="128"/>
        <v/>
      </c>
      <c r="J145" s="383"/>
      <c r="K145" s="351"/>
      <c r="L145" s="384" t="str">
        <f t="shared" si="129"/>
        <v/>
      </c>
      <c r="M145" s="465">
        <f>IF(K145="AV",MAX($M$12:M144)+1,0)</f>
        <v>0</v>
      </c>
      <c r="N145" s="458">
        <f>IF(K145="IT",MAX($N$12:N144)+1,0)</f>
        <v>0</v>
      </c>
      <c r="O145" s="458">
        <f>IF(K145="IT2",MAX($O$12:O144)+1,0)</f>
        <v>0</v>
      </c>
      <c r="P145" s="458">
        <f>IF(K145="ITP",MAX($P$12:P144)+1,0)</f>
        <v>0</v>
      </c>
      <c r="Q145" s="458">
        <f>IF(K145="C6",MAX($Q$12:Q144)+1,0)</f>
        <v>0</v>
      </c>
      <c r="R145" s="354"/>
      <c r="S145" s="348" t="str">
        <f t="shared" si="124"/>
        <v/>
      </c>
      <c r="T145" s="308"/>
      <c r="U145" s="471">
        <v>64</v>
      </c>
      <c r="V145" s="468">
        <f t="shared" si="96"/>
        <v>0</v>
      </c>
      <c r="W145" s="468">
        <f t="shared" si="97"/>
        <v>0</v>
      </c>
      <c r="X145" s="468">
        <f t="shared" si="98"/>
        <v>0</v>
      </c>
      <c r="Y145" s="468">
        <f t="shared" si="99"/>
        <v>0</v>
      </c>
      <c r="Z145" s="468">
        <f t="shared" si="100"/>
        <v>0</v>
      </c>
      <c r="AA145" s="474"/>
      <c r="AB145" s="308"/>
      <c r="AC145" s="308"/>
      <c r="AD145" s="497"/>
      <c r="AE145" s="308"/>
      <c r="AF145" s="200" t="str">
        <f t="shared" si="117"/>
        <v/>
      </c>
      <c r="AG145" s="320" t="str">
        <f t="shared" si="120"/>
        <v/>
      </c>
      <c r="AH145" s="33" t="str">
        <f t="shared" si="121"/>
        <v/>
      </c>
      <c r="AI145" s="99" t="str">
        <f t="shared" si="118"/>
        <v/>
      </c>
      <c r="AJ145" s="121"/>
      <c r="AK145" s="42"/>
      <c r="AL145" s="163"/>
      <c r="AM145" s="48"/>
      <c r="AP145" s="5"/>
    </row>
    <row r="146" spans="2:42" ht="15" customHeight="1">
      <c r="B146" s="337"/>
      <c r="C146" s="191"/>
      <c r="D146" s="74"/>
      <c r="E146" s="58" t="str">
        <f t="shared" si="125"/>
        <v/>
      </c>
      <c r="F146" s="351"/>
      <c r="G146" s="343" t="str">
        <f t="shared" si="126"/>
        <v/>
      </c>
      <c r="H146" s="344" t="str">
        <f t="shared" si="127"/>
        <v/>
      </c>
      <c r="I146" s="343" t="str">
        <f t="shared" si="128"/>
        <v/>
      </c>
      <c r="J146" s="383"/>
      <c r="K146" s="351"/>
      <c r="L146" s="384" t="str">
        <f t="shared" si="129"/>
        <v/>
      </c>
      <c r="M146" s="465">
        <f>IF(K146="AV",MAX($M$12:M145)+1,0)</f>
        <v>0</v>
      </c>
      <c r="N146" s="458">
        <f>IF(K146="IT",MAX($N$12:N145)+1,0)</f>
        <v>0</v>
      </c>
      <c r="O146" s="458">
        <f>IF(K146="IT2",MAX($O$12:O145)+1,0)</f>
        <v>0</v>
      </c>
      <c r="P146" s="458">
        <f>IF(K146="ITP",MAX($P$12:P145)+1,0)</f>
        <v>0</v>
      </c>
      <c r="Q146" s="458">
        <f>IF(K146="C6",MAX($Q$12:Q145)+1,0)</f>
        <v>0</v>
      </c>
      <c r="R146" s="354"/>
      <c r="S146" s="348" t="str">
        <f t="shared" si="124"/>
        <v/>
      </c>
      <c r="T146" s="308"/>
      <c r="U146" s="471">
        <v>65</v>
      </c>
      <c r="V146" s="468">
        <f t="shared" ref="V146:V151" si="130">IF(COUNTIF($M$12:$M$239,U146)=0,0,INDEX($B$12:$B$239,MATCH(U146,$M$12:$M$239,0)))</f>
        <v>0</v>
      </c>
      <c r="W146" s="468">
        <f t="shared" ref="W146:W151" si="131">IF(COUNTIF($N$12:$N$239,U146)=0,0,INDEX($B$12:$B$239,MATCH(U146,$N$12:$N$239,0)))</f>
        <v>0</v>
      </c>
      <c r="X146" s="468">
        <f t="shared" ref="X146:X151" si="132">IF(COUNTIF($O$12:$O$239,U146)=0,0,INDEX($B$12:$B$239,MATCH(U146,$O$12:$O$239,0)))</f>
        <v>0</v>
      </c>
      <c r="Y146" s="468">
        <f t="shared" ref="Y146:Y151" si="133">IF(COUNTIF($P$12:$P$239,U146)=0,0,INDEX($B$12:$B$239,MATCH(U146,$P$12:$P$239,0)))</f>
        <v>0</v>
      </c>
      <c r="Z146" s="468">
        <f t="shared" ref="Z146:Z151" si="134">IF(COUNTIF($Q$12:$Q$239,U146)=0,0,INDEX($B$12:$B$239,MATCH(U146,$Q$12:$Q$239,0)))</f>
        <v>0</v>
      </c>
      <c r="AA146" s="474"/>
      <c r="AB146" s="308"/>
      <c r="AC146" s="308"/>
      <c r="AD146" s="497"/>
      <c r="AE146" s="308"/>
      <c r="AF146" s="200" t="str">
        <f t="shared" si="117"/>
        <v/>
      </c>
      <c r="AG146" s="320" t="str">
        <f t="shared" si="120"/>
        <v/>
      </c>
      <c r="AH146" s="33" t="str">
        <f t="shared" si="121"/>
        <v/>
      </c>
      <c r="AI146" s="99" t="str">
        <f t="shared" si="118"/>
        <v/>
      </c>
      <c r="AJ146" s="121"/>
      <c r="AK146" s="42"/>
      <c r="AL146" s="163"/>
      <c r="AM146" s="48"/>
      <c r="AP146" s="5"/>
    </row>
    <row r="147" spans="2:42" ht="15" customHeight="1">
      <c r="B147" s="337"/>
      <c r="C147" s="191"/>
      <c r="D147" s="74"/>
      <c r="E147" s="58" t="str">
        <f t="shared" si="125"/>
        <v/>
      </c>
      <c r="F147" s="351"/>
      <c r="G147" s="343" t="str">
        <f t="shared" si="126"/>
        <v/>
      </c>
      <c r="H147" s="344" t="str">
        <f t="shared" si="127"/>
        <v/>
      </c>
      <c r="I147" s="343" t="str">
        <f t="shared" si="128"/>
        <v/>
      </c>
      <c r="J147" s="383"/>
      <c r="K147" s="351"/>
      <c r="L147" s="384" t="str">
        <f t="shared" si="129"/>
        <v/>
      </c>
      <c r="M147" s="465">
        <f>IF(K147="AV",MAX($M$12:M146)+1,0)</f>
        <v>0</v>
      </c>
      <c r="N147" s="458">
        <f>IF(K147="IT",MAX($N$12:N146)+1,0)</f>
        <v>0</v>
      </c>
      <c r="O147" s="458">
        <f>IF(K147="IT2",MAX($O$12:O146)+1,0)</f>
        <v>0</v>
      </c>
      <c r="P147" s="458">
        <f>IF(K147="ITP",MAX($P$12:P146)+1,0)</f>
        <v>0</v>
      </c>
      <c r="Q147" s="458">
        <f>IF(K147="C6",MAX($Q$12:Q146)+1,0)</f>
        <v>0</v>
      </c>
      <c r="R147" s="354"/>
      <c r="S147" s="348" t="str">
        <f t="shared" si="124"/>
        <v/>
      </c>
      <c r="T147" s="308"/>
      <c r="U147" s="471">
        <v>66</v>
      </c>
      <c r="V147" s="468">
        <f t="shared" si="130"/>
        <v>0</v>
      </c>
      <c r="W147" s="468">
        <f t="shared" si="131"/>
        <v>0</v>
      </c>
      <c r="X147" s="468">
        <f t="shared" si="132"/>
        <v>0</v>
      </c>
      <c r="Y147" s="468">
        <f t="shared" si="133"/>
        <v>0</v>
      </c>
      <c r="Z147" s="468">
        <f t="shared" si="134"/>
        <v>0</v>
      </c>
      <c r="AA147" s="474"/>
      <c r="AB147" s="308"/>
      <c r="AC147" s="308"/>
      <c r="AD147" s="497"/>
      <c r="AE147" s="308"/>
      <c r="AF147" s="200" t="str">
        <f t="shared" si="117"/>
        <v/>
      </c>
      <c r="AG147" s="320" t="str">
        <f t="shared" si="120"/>
        <v/>
      </c>
      <c r="AH147" s="33" t="str">
        <f t="shared" si="121"/>
        <v/>
      </c>
      <c r="AI147" s="99" t="str">
        <f t="shared" si="118"/>
        <v/>
      </c>
      <c r="AJ147" s="121"/>
      <c r="AK147" s="42"/>
      <c r="AL147" s="163"/>
      <c r="AM147" s="48"/>
      <c r="AP147" s="5"/>
    </row>
    <row r="148" spans="2:42" ht="15" customHeight="1">
      <c r="B148" s="337"/>
      <c r="C148" s="191"/>
      <c r="D148" s="74"/>
      <c r="E148" s="58" t="str">
        <f t="shared" si="125"/>
        <v/>
      </c>
      <c r="F148" s="351"/>
      <c r="G148" s="343" t="str">
        <f t="shared" si="126"/>
        <v/>
      </c>
      <c r="H148" s="344" t="str">
        <f t="shared" si="127"/>
        <v/>
      </c>
      <c r="I148" s="343" t="str">
        <f t="shared" si="128"/>
        <v/>
      </c>
      <c r="J148" s="383"/>
      <c r="K148" s="351"/>
      <c r="L148" s="384" t="str">
        <f t="shared" si="129"/>
        <v/>
      </c>
      <c r="M148" s="465">
        <f>IF(K148="AV",MAX($M$12:M147)+1,0)</f>
        <v>0</v>
      </c>
      <c r="N148" s="458">
        <f>IF(K148="IT",MAX($N$12:N147)+1,0)</f>
        <v>0</v>
      </c>
      <c r="O148" s="458">
        <f>IF(K148="IT2",MAX($O$12:O147)+1,0)</f>
        <v>0</v>
      </c>
      <c r="P148" s="458">
        <f>IF(K148="ITP",MAX($P$12:P147)+1,0)</f>
        <v>0</v>
      </c>
      <c r="Q148" s="458">
        <f>IF(K148="C6",MAX($Q$12:Q147)+1,0)</f>
        <v>0</v>
      </c>
      <c r="R148" s="354"/>
      <c r="S148" s="348" t="str">
        <f t="shared" si="124"/>
        <v/>
      </c>
      <c r="T148" s="308"/>
      <c r="U148" s="471">
        <v>67</v>
      </c>
      <c r="V148" s="468">
        <f t="shared" si="130"/>
        <v>0</v>
      </c>
      <c r="W148" s="468">
        <f t="shared" si="131"/>
        <v>0</v>
      </c>
      <c r="X148" s="468">
        <f t="shared" si="132"/>
        <v>0</v>
      </c>
      <c r="Y148" s="468">
        <f t="shared" si="133"/>
        <v>0</v>
      </c>
      <c r="Z148" s="468">
        <f t="shared" si="134"/>
        <v>0</v>
      </c>
      <c r="AA148" s="474"/>
      <c r="AB148" s="308"/>
      <c r="AC148" s="308"/>
      <c r="AD148" s="497"/>
      <c r="AE148" s="308"/>
      <c r="AF148" s="200" t="str">
        <f t="shared" si="117"/>
        <v/>
      </c>
      <c r="AG148" s="320" t="str">
        <f t="shared" si="120"/>
        <v/>
      </c>
      <c r="AH148" s="33" t="str">
        <f t="shared" si="121"/>
        <v/>
      </c>
      <c r="AI148" s="99" t="str">
        <f t="shared" si="118"/>
        <v/>
      </c>
      <c r="AJ148" s="121"/>
      <c r="AK148" s="42"/>
      <c r="AL148" s="163"/>
      <c r="AM148" s="48"/>
      <c r="AP148" s="5"/>
    </row>
    <row r="149" spans="2:42" ht="15" customHeight="1">
      <c r="B149" s="337"/>
      <c r="C149" s="191"/>
      <c r="D149" s="74"/>
      <c r="E149" s="58" t="str">
        <f t="shared" si="125"/>
        <v/>
      </c>
      <c r="F149" s="351"/>
      <c r="G149" s="343" t="str">
        <f t="shared" si="126"/>
        <v/>
      </c>
      <c r="H149" s="344" t="str">
        <f t="shared" si="127"/>
        <v/>
      </c>
      <c r="I149" s="343" t="str">
        <f t="shared" si="128"/>
        <v/>
      </c>
      <c r="J149" s="383"/>
      <c r="K149" s="351"/>
      <c r="L149" s="384" t="str">
        <f t="shared" si="129"/>
        <v/>
      </c>
      <c r="M149" s="465">
        <f>IF(K149="AV",MAX($M$12:M148)+1,0)</f>
        <v>0</v>
      </c>
      <c r="N149" s="458">
        <f>IF(K149="IT",MAX($N$12:N148)+1,0)</f>
        <v>0</v>
      </c>
      <c r="O149" s="458">
        <f>IF(K149="IT2",MAX($O$12:O148)+1,0)</f>
        <v>0</v>
      </c>
      <c r="P149" s="458">
        <f>IF(K149="ITP",MAX($P$12:P148)+1,0)</f>
        <v>0</v>
      </c>
      <c r="Q149" s="458">
        <f>IF(K149="C6",MAX($Q$12:Q148)+1,0)</f>
        <v>0</v>
      </c>
      <c r="R149" s="354"/>
      <c r="S149" s="348" t="str">
        <f t="shared" si="124"/>
        <v/>
      </c>
      <c r="T149" s="308"/>
      <c r="U149" s="471">
        <v>68</v>
      </c>
      <c r="V149" s="468">
        <f t="shared" si="130"/>
        <v>0</v>
      </c>
      <c r="W149" s="468">
        <f t="shared" si="131"/>
        <v>0</v>
      </c>
      <c r="X149" s="468">
        <f t="shared" si="132"/>
        <v>0</v>
      </c>
      <c r="Y149" s="468">
        <f t="shared" si="133"/>
        <v>0</v>
      </c>
      <c r="Z149" s="468">
        <f t="shared" si="134"/>
        <v>0</v>
      </c>
      <c r="AA149" s="474"/>
      <c r="AB149" s="308"/>
      <c r="AC149" s="308"/>
      <c r="AD149" s="497"/>
      <c r="AE149" s="308"/>
      <c r="AF149" s="200">
        <f t="shared" si="117"/>
        <v>46327.15</v>
      </c>
      <c r="AG149" s="320">
        <f t="shared" si="120"/>
        <v>46327.15</v>
      </c>
      <c r="AH149" s="33" t="str">
        <f t="shared" si="121"/>
        <v>P</v>
      </c>
      <c r="AI149" s="99" t="str">
        <f t="shared" si="118"/>
        <v>PRUDENTIAL</v>
      </c>
      <c r="AJ149" s="218">
        <v>46315</v>
      </c>
      <c r="AK149" s="217" t="s">
        <v>70</v>
      </c>
      <c r="AL149" s="219">
        <v>12.15</v>
      </c>
      <c r="AM149" s="48"/>
      <c r="AP149" s="5"/>
    </row>
    <row r="150" spans="2:42" ht="15" customHeight="1">
      <c r="B150" s="337"/>
      <c r="C150" s="191"/>
      <c r="D150" s="74"/>
      <c r="E150" s="58" t="str">
        <f t="shared" ref="E150:E171" si="135">IF(OR(B150="",F150="Pago"),"",B150)</f>
        <v/>
      </c>
      <c r="F150" s="351"/>
      <c r="G150" s="343" t="str">
        <f t="shared" ref="G150:G173" si="136">IF(B150="","",B150+C150)</f>
        <v/>
      </c>
      <c r="H150" s="344" t="str">
        <f t="shared" si="127"/>
        <v/>
      </c>
      <c r="I150" s="343" t="str">
        <f t="shared" si="128"/>
        <v/>
      </c>
      <c r="J150" s="383"/>
      <c r="K150" s="351"/>
      <c r="L150" s="384" t="str">
        <f t="shared" ref="L150:L171" si="137">IF(K150="AV","8",IF(AND(G150="",H150=""),"",IF(G150=H150,"P",IF(G150&lt;&gt;H150,"O"))))</f>
        <v/>
      </c>
      <c r="M150" s="465">
        <f>IF(K150="AV",MAX($M$12:M149)+1,0)</f>
        <v>0</v>
      </c>
      <c r="N150" s="458">
        <f>IF(K150="IT",MAX($N$12:N149)+1,0)</f>
        <v>0</v>
      </c>
      <c r="O150" s="458">
        <f>IF(K150="IT2",MAX($O$12:O149)+1,0)</f>
        <v>0</v>
      </c>
      <c r="P150" s="458">
        <f>IF(K150="ITP",MAX($P$12:P149)+1,0)</f>
        <v>0</v>
      </c>
      <c r="Q150" s="458">
        <f>IF(K150="C6",MAX($Q$12:Q149)+1,0)</f>
        <v>0</v>
      </c>
      <c r="R150" s="354"/>
      <c r="S150" s="348" t="str">
        <f t="shared" ref="S150:S171" si="138">IF(F150="Pago",B150,"")</f>
        <v/>
      </c>
      <c r="T150" s="308"/>
      <c r="U150" s="471">
        <v>69</v>
      </c>
      <c r="V150" s="468">
        <f t="shared" si="130"/>
        <v>0</v>
      </c>
      <c r="W150" s="468">
        <f t="shared" si="131"/>
        <v>0</v>
      </c>
      <c r="X150" s="468">
        <f t="shared" si="132"/>
        <v>0</v>
      </c>
      <c r="Y150" s="468">
        <f t="shared" si="133"/>
        <v>0</v>
      </c>
      <c r="Z150" s="468">
        <f t="shared" si="134"/>
        <v>0</v>
      </c>
      <c r="AA150" s="474"/>
      <c r="AB150" s="308"/>
      <c r="AC150" s="308"/>
      <c r="AD150" s="497"/>
      <c r="AE150" s="308"/>
      <c r="AF150" s="200">
        <f t="shared" si="117"/>
        <v>46563.91</v>
      </c>
      <c r="AG150" s="320">
        <f t="shared" si="120"/>
        <v>46563.91</v>
      </c>
      <c r="AH150" s="33" t="str">
        <f t="shared" si="121"/>
        <v>P</v>
      </c>
      <c r="AI150" s="99" t="str">
        <f t="shared" si="118"/>
        <v>PRUDENTIAL</v>
      </c>
      <c r="AJ150" s="218">
        <v>46315</v>
      </c>
      <c r="AK150" s="217" t="s">
        <v>71</v>
      </c>
      <c r="AL150" s="219">
        <v>248.91</v>
      </c>
      <c r="AM150" s="48"/>
      <c r="AP150" s="5"/>
    </row>
    <row r="151" spans="2:42" ht="15" customHeight="1">
      <c r="B151" s="337"/>
      <c r="C151" s="191"/>
      <c r="D151" s="74"/>
      <c r="E151" s="58" t="str">
        <f t="shared" si="135"/>
        <v/>
      </c>
      <c r="F151" s="351"/>
      <c r="G151" s="343" t="str">
        <f t="shared" si="136"/>
        <v/>
      </c>
      <c r="H151" s="344" t="str">
        <f t="shared" si="127"/>
        <v/>
      </c>
      <c r="I151" s="343" t="str">
        <f t="shared" si="128"/>
        <v/>
      </c>
      <c r="J151" s="383"/>
      <c r="K151" s="351"/>
      <c r="L151" s="384" t="str">
        <f t="shared" si="137"/>
        <v/>
      </c>
      <c r="M151" s="465">
        <f>IF(K151="AV",MAX($M$12:M150)+1,0)</f>
        <v>0</v>
      </c>
      <c r="N151" s="458">
        <f>IF(K151="IT",MAX($N$12:N150)+1,0)</f>
        <v>0</v>
      </c>
      <c r="O151" s="458">
        <f>IF(K151="IT2",MAX($O$12:O150)+1,0)</f>
        <v>0</v>
      </c>
      <c r="P151" s="458">
        <f>IF(K151="ITP",MAX($P$12:P150)+1,0)</f>
        <v>0</v>
      </c>
      <c r="Q151" s="458">
        <f>IF(K151="C6",MAX($Q$12:Q150)+1,0)</f>
        <v>0</v>
      </c>
      <c r="R151" s="354"/>
      <c r="S151" s="348" t="str">
        <f t="shared" si="138"/>
        <v/>
      </c>
      <c r="T151" s="308"/>
      <c r="U151" s="472">
        <v>70</v>
      </c>
      <c r="V151" s="469">
        <f t="shared" si="130"/>
        <v>0</v>
      </c>
      <c r="W151" s="469">
        <f t="shared" si="131"/>
        <v>0</v>
      </c>
      <c r="X151" s="469">
        <f t="shared" si="132"/>
        <v>0</v>
      </c>
      <c r="Y151" s="469">
        <f t="shared" si="133"/>
        <v>0</v>
      </c>
      <c r="Z151" s="469">
        <f t="shared" si="134"/>
        <v>0</v>
      </c>
      <c r="AA151" s="475"/>
      <c r="AB151" s="308"/>
      <c r="AC151" s="308"/>
      <c r="AD151" s="497"/>
      <c r="AE151" s="308"/>
      <c r="AF151" s="201">
        <f t="shared" si="117"/>
        <v>46636.1</v>
      </c>
      <c r="AG151" s="321">
        <f t="shared" si="120"/>
        <v>46636.1</v>
      </c>
      <c r="AH151" s="115" t="str">
        <f t="shared" si="121"/>
        <v>P</v>
      </c>
      <c r="AI151" s="99" t="str">
        <f t="shared" si="118"/>
        <v>PRUDENTIAL</v>
      </c>
      <c r="AJ151" s="218">
        <v>46315</v>
      </c>
      <c r="AK151" s="217" t="s">
        <v>119</v>
      </c>
      <c r="AL151" s="219">
        <v>321.10000000000002</v>
      </c>
      <c r="AM151" s="48"/>
      <c r="AP151" s="5"/>
    </row>
    <row r="152" spans="2:42" ht="15" customHeight="1">
      <c r="B152" s="337"/>
      <c r="C152" s="191"/>
      <c r="D152" s="74"/>
      <c r="E152" s="58" t="str">
        <f t="shared" si="135"/>
        <v/>
      </c>
      <c r="F152" s="351"/>
      <c r="G152" s="343" t="str">
        <f t="shared" si="136"/>
        <v/>
      </c>
      <c r="H152" s="344" t="str">
        <f t="shared" si="127"/>
        <v/>
      </c>
      <c r="I152" s="343" t="str">
        <f t="shared" si="128"/>
        <v/>
      </c>
      <c r="J152" s="383"/>
      <c r="K152" s="351"/>
      <c r="L152" s="384" t="str">
        <f t="shared" si="137"/>
        <v/>
      </c>
      <c r="M152" s="465">
        <f>IF(K152="AV",MAX($M$12:M151)+1,0)</f>
        <v>0</v>
      </c>
      <c r="N152" s="458">
        <f>IF(K152="IT",MAX($N$12:N151)+1,0)</f>
        <v>0</v>
      </c>
      <c r="O152" s="458">
        <f>IF(K152="IT2",MAX($O$12:O151)+1,0)</f>
        <v>0</v>
      </c>
      <c r="P152" s="458">
        <f>IF(K152="ITP",MAX($P$12:P151)+1,0)</f>
        <v>0</v>
      </c>
      <c r="Q152" s="458">
        <f>IF(K152="C6",MAX($Q$12:Q151)+1,0)</f>
        <v>0</v>
      </c>
      <c r="R152" s="354"/>
      <c r="S152" s="348" t="str">
        <f t="shared" si="138"/>
        <v/>
      </c>
      <c r="T152" s="308"/>
      <c r="W152" s="308"/>
      <c r="AB152" s="308"/>
      <c r="AC152" s="308"/>
      <c r="AD152" s="497"/>
      <c r="AE152" s="308"/>
      <c r="AF152" s="308"/>
      <c r="AG152" s="308"/>
      <c r="AH152" s="308"/>
      <c r="AI152" s="339"/>
      <c r="AJ152" s="565">
        <f>SUM(AL132:AL151)</f>
        <v>582.16000000000008</v>
      </c>
      <c r="AK152" s="566"/>
      <c r="AL152" s="567"/>
      <c r="AP152" s="5"/>
    </row>
    <row r="153" spans="2:42" ht="15" customHeight="1">
      <c r="B153" s="337"/>
      <c r="C153" s="191"/>
      <c r="D153" s="74"/>
      <c r="E153" s="58" t="str">
        <f t="shared" si="135"/>
        <v/>
      </c>
      <c r="F153" s="351"/>
      <c r="G153" s="343" t="str">
        <f t="shared" si="136"/>
        <v/>
      </c>
      <c r="H153" s="344" t="str">
        <f t="shared" si="127"/>
        <v/>
      </c>
      <c r="I153" s="343" t="str">
        <f t="shared" si="128"/>
        <v/>
      </c>
      <c r="J153" s="383"/>
      <c r="K153" s="351"/>
      <c r="L153" s="384" t="str">
        <f t="shared" si="137"/>
        <v/>
      </c>
      <c r="M153" s="465">
        <f>IF(K153="AV",MAX($M$12:M152)+1,0)</f>
        <v>0</v>
      </c>
      <c r="N153" s="458">
        <f>IF(K153="IT",MAX($N$12:N152)+1,0)</f>
        <v>0</v>
      </c>
      <c r="O153" s="458">
        <f>IF(K153="IT2",MAX($O$12:O152)+1,0)</f>
        <v>0</v>
      </c>
      <c r="P153" s="458">
        <f>IF(K153="ITP",MAX($P$12:P152)+1,0)</f>
        <v>0</v>
      </c>
      <c r="Q153" s="458">
        <f>IF(K153="C6",MAX($Q$12:Q152)+1,0)</f>
        <v>0</v>
      </c>
      <c r="R153" s="354"/>
      <c r="S153" s="348" t="str">
        <f t="shared" si="138"/>
        <v/>
      </c>
      <c r="T153" s="308"/>
      <c r="W153" s="308"/>
      <c r="AB153" s="308"/>
      <c r="AC153" s="308"/>
      <c r="AD153" s="497"/>
      <c r="AE153" s="308"/>
      <c r="AF153" s="308"/>
      <c r="AG153" s="308"/>
      <c r="AH153" s="308"/>
      <c r="AI153" s="340"/>
      <c r="AJ153" s="565"/>
      <c r="AK153" s="566"/>
      <c r="AL153" s="567"/>
      <c r="AP153" s="5"/>
    </row>
    <row r="154" spans="2:42" ht="15" customHeight="1">
      <c r="B154" s="337"/>
      <c r="C154" s="191"/>
      <c r="D154" s="74"/>
      <c r="E154" s="58" t="str">
        <f t="shared" si="135"/>
        <v/>
      </c>
      <c r="F154" s="351"/>
      <c r="G154" s="343" t="str">
        <f t="shared" si="136"/>
        <v/>
      </c>
      <c r="H154" s="344" t="str">
        <f t="shared" si="127"/>
        <v/>
      </c>
      <c r="I154" s="343" t="str">
        <f t="shared" si="128"/>
        <v/>
      </c>
      <c r="J154" s="383"/>
      <c r="K154" s="351"/>
      <c r="L154" s="384" t="str">
        <f t="shared" si="137"/>
        <v/>
      </c>
      <c r="M154" s="465">
        <f>IF(K154="AV",MAX($M$12:M153)+1,0)</f>
        <v>0</v>
      </c>
      <c r="N154" s="458">
        <f>IF(K154="IT",MAX($N$12:N153)+1,0)</f>
        <v>0</v>
      </c>
      <c r="O154" s="458">
        <f>IF(K154="IT2",MAX($O$12:O153)+1,0)</f>
        <v>0</v>
      </c>
      <c r="P154" s="458">
        <f>IF(K154="ITP",MAX($P$12:P153)+1,0)</f>
        <v>0</v>
      </c>
      <c r="Q154" s="458">
        <f>IF(K154="C6",MAX($Q$12:Q153)+1,0)</f>
        <v>0</v>
      </c>
      <c r="R154" s="354"/>
      <c r="S154" s="348" t="str">
        <f t="shared" si="138"/>
        <v/>
      </c>
      <c r="T154" s="308"/>
      <c r="U154" s="308"/>
      <c r="V154" s="308"/>
      <c r="W154" s="308"/>
      <c r="X154" s="308"/>
      <c r="Y154" s="308"/>
      <c r="Z154" s="308"/>
      <c r="AA154" s="308"/>
      <c r="AB154" s="308"/>
      <c r="AC154" s="308"/>
      <c r="AD154" s="497"/>
      <c r="AE154" s="308"/>
      <c r="AF154" s="199" t="str">
        <f t="shared" ref="AF154:AF173" si="139">IFERROR(VLOOKUP(AG154,$G$12:$G$239,1,0),"")</f>
        <v/>
      </c>
      <c r="AG154" s="319" t="str">
        <f t="shared" si="120"/>
        <v/>
      </c>
      <c r="AH154" s="114" t="str">
        <f t="shared" si="121"/>
        <v/>
      </c>
      <c r="AI154" s="99" t="str">
        <f t="shared" ref="AI154:AI173" si="140">IF(AG154="","",IFERROR(VLOOKUP(AG154,$H$12:$I$239,2,0),""))</f>
        <v/>
      </c>
      <c r="AJ154" s="118"/>
      <c r="AK154" s="109"/>
      <c r="AL154" s="106"/>
      <c r="AM154" s="568" t="s">
        <v>8</v>
      </c>
      <c r="AP154" s="5"/>
    </row>
    <row r="155" spans="2:42" ht="15" customHeight="1">
      <c r="B155" s="337"/>
      <c r="C155" s="191"/>
      <c r="D155" s="74"/>
      <c r="E155" s="58" t="str">
        <f t="shared" si="135"/>
        <v/>
      </c>
      <c r="F155" s="351"/>
      <c r="G155" s="343" t="str">
        <f t="shared" si="136"/>
        <v/>
      </c>
      <c r="H155" s="344" t="str">
        <f t="shared" si="127"/>
        <v/>
      </c>
      <c r="I155" s="343" t="str">
        <f t="shared" si="128"/>
        <v/>
      </c>
      <c r="J155" s="383"/>
      <c r="K155" s="351"/>
      <c r="L155" s="384" t="str">
        <f t="shared" si="137"/>
        <v/>
      </c>
      <c r="M155" s="465">
        <f>IF(K155="AV",MAX($M$12:M154)+1,0)</f>
        <v>0</v>
      </c>
      <c r="N155" s="458">
        <f>IF(K155="IT",MAX($N$12:N154)+1,0)</f>
        <v>0</v>
      </c>
      <c r="O155" s="458">
        <f>IF(K155="IT2",MAX($O$12:O154)+1,0)</f>
        <v>0</v>
      </c>
      <c r="P155" s="458">
        <f>IF(K155="ITP",MAX($P$12:P154)+1,0)</f>
        <v>0</v>
      </c>
      <c r="Q155" s="458">
        <f>IF(K155="C6",MAX($Q$12:Q154)+1,0)</f>
        <v>0</v>
      </c>
      <c r="R155" s="354"/>
      <c r="S155" s="348" t="str">
        <f t="shared" si="138"/>
        <v/>
      </c>
      <c r="T155" s="308"/>
      <c r="U155" s="308"/>
      <c r="V155" s="308"/>
      <c r="W155" s="308"/>
      <c r="X155" s="308"/>
      <c r="Y155" s="308"/>
      <c r="Z155" s="308"/>
      <c r="AA155" s="308"/>
      <c r="AB155" s="308"/>
      <c r="AC155" s="308"/>
      <c r="AD155" s="497"/>
      <c r="AE155" s="308"/>
      <c r="AF155" s="200" t="str">
        <f t="shared" si="139"/>
        <v/>
      </c>
      <c r="AG155" s="320" t="str">
        <f t="shared" si="120"/>
        <v/>
      </c>
      <c r="AH155" s="33" t="str">
        <f t="shared" si="121"/>
        <v/>
      </c>
      <c r="AI155" s="99" t="str">
        <f t="shared" si="140"/>
        <v/>
      </c>
      <c r="AJ155" s="118"/>
      <c r="AK155" s="109"/>
      <c r="AL155" s="106"/>
      <c r="AM155" s="569"/>
      <c r="AP155" s="5"/>
    </row>
    <row r="156" spans="2:42" ht="15" customHeight="1">
      <c r="B156" s="337"/>
      <c r="C156" s="191"/>
      <c r="D156" s="74"/>
      <c r="E156" s="58" t="str">
        <f t="shared" si="135"/>
        <v/>
      </c>
      <c r="F156" s="351"/>
      <c r="G156" s="343" t="str">
        <f t="shared" si="136"/>
        <v/>
      </c>
      <c r="H156" s="344" t="str">
        <f t="shared" si="127"/>
        <v/>
      </c>
      <c r="I156" s="343" t="str">
        <f t="shared" si="128"/>
        <v/>
      </c>
      <c r="J156" s="383"/>
      <c r="K156" s="351"/>
      <c r="L156" s="384" t="str">
        <f t="shared" si="137"/>
        <v/>
      </c>
      <c r="M156" s="465">
        <f>IF(K156="AV",MAX($M$12:M155)+1,0)</f>
        <v>0</v>
      </c>
      <c r="N156" s="458">
        <f>IF(K156="IT",MAX($N$12:N155)+1,0)</f>
        <v>0</v>
      </c>
      <c r="O156" s="458">
        <f>IF(K156="IT2",MAX($O$12:O155)+1,0)</f>
        <v>0</v>
      </c>
      <c r="P156" s="458">
        <f>IF(K156="ITP",MAX($P$12:P155)+1,0)</f>
        <v>0</v>
      </c>
      <c r="Q156" s="458">
        <f>IF(K156="C6",MAX($Q$12:Q155)+1,0)</f>
        <v>0</v>
      </c>
      <c r="R156" s="354"/>
      <c r="S156" s="348" t="str">
        <f t="shared" si="138"/>
        <v/>
      </c>
      <c r="T156" s="308"/>
      <c r="U156" s="308"/>
      <c r="V156" s="308"/>
      <c r="W156" s="308"/>
      <c r="X156" s="308"/>
      <c r="Y156" s="308"/>
      <c r="Z156" s="308"/>
      <c r="AA156" s="308"/>
      <c r="AB156" s="308"/>
      <c r="AC156" s="308"/>
      <c r="AD156" s="497"/>
      <c r="AE156" s="308"/>
      <c r="AF156" s="200" t="str">
        <f t="shared" si="139"/>
        <v/>
      </c>
      <c r="AG156" s="320" t="str">
        <f t="shared" si="120"/>
        <v/>
      </c>
      <c r="AH156" s="33" t="str">
        <f t="shared" si="121"/>
        <v/>
      </c>
      <c r="AI156" s="99" t="str">
        <f t="shared" si="140"/>
        <v/>
      </c>
      <c r="AJ156" s="118"/>
      <c r="AK156" s="109"/>
      <c r="AL156" s="106"/>
      <c r="AM156" s="569"/>
      <c r="AP156" s="5"/>
    </row>
    <row r="157" spans="2:42" ht="15" customHeight="1">
      <c r="B157" s="337"/>
      <c r="C157" s="191"/>
      <c r="D157" s="74"/>
      <c r="E157" s="58" t="str">
        <f t="shared" si="135"/>
        <v/>
      </c>
      <c r="F157" s="351"/>
      <c r="G157" s="343" t="str">
        <f t="shared" si="136"/>
        <v/>
      </c>
      <c r="H157" s="344" t="str">
        <f t="shared" si="127"/>
        <v/>
      </c>
      <c r="I157" s="343" t="str">
        <f t="shared" si="128"/>
        <v/>
      </c>
      <c r="J157" s="383"/>
      <c r="K157" s="351"/>
      <c r="L157" s="384" t="str">
        <f t="shared" si="137"/>
        <v/>
      </c>
      <c r="M157" s="465">
        <f>IF(K157="AV",MAX($M$12:M156)+1,0)</f>
        <v>0</v>
      </c>
      <c r="N157" s="458">
        <f>IF(K157="IT",MAX($N$12:N156)+1,0)</f>
        <v>0</v>
      </c>
      <c r="O157" s="458">
        <f>IF(K157="IT2",MAX($O$12:O156)+1,0)</f>
        <v>0</v>
      </c>
      <c r="P157" s="458">
        <f>IF(K157="ITP",MAX($P$12:P156)+1,0)</f>
        <v>0</v>
      </c>
      <c r="Q157" s="458">
        <f>IF(K157="C6",MAX($Q$12:Q156)+1,0)</f>
        <v>0</v>
      </c>
      <c r="R157" s="354"/>
      <c r="S157" s="348" t="str">
        <f t="shared" si="138"/>
        <v/>
      </c>
      <c r="T157" s="308"/>
      <c r="U157" s="308"/>
      <c r="V157" s="308"/>
      <c r="W157" s="308"/>
      <c r="X157" s="308"/>
      <c r="Y157" s="308"/>
      <c r="Z157" s="308"/>
      <c r="AA157" s="308"/>
      <c r="AB157" s="308"/>
      <c r="AC157" s="308"/>
      <c r="AD157" s="497"/>
      <c r="AE157" s="308"/>
      <c r="AF157" s="200" t="str">
        <f t="shared" si="139"/>
        <v/>
      </c>
      <c r="AG157" s="320" t="str">
        <f t="shared" si="120"/>
        <v/>
      </c>
      <c r="AH157" s="33" t="str">
        <f t="shared" si="121"/>
        <v/>
      </c>
      <c r="AI157" s="99" t="str">
        <f t="shared" si="140"/>
        <v/>
      </c>
      <c r="AJ157" s="118"/>
      <c r="AK157" s="109"/>
      <c r="AL157" s="106"/>
      <c r="AM157" s="48"/>
      <c r="AP157" s="5"/>
    </row>
    <row r="158" spans="2:42" ht="15" customHeight="1">
      <c r="B158" s="337"/>
      <c r="C158" s="191"/>
      <c r="D158" s="74"/>
      <c r="E158" s="58" t="str">
        <f t="shared" si="135"/>
        <v/>
      </c>
      <c r="F158" s="351"/>
      <c r="G158" s="343" t="str">
        <f t="shared" si="136"/>
        <v/>
      </c>
      <c r="H158" s="344" t="str">
        <f t="shared" si="127"/>
        <v/>
      </c>
      <c r="I158" s="343" t="str">
        <f t="shared" si="128"/>
        <v/>
      </c>
      <c r="J158" s="383"/>
      <c r="K158" s="351"/>
      <c r="L158" s="384" t="str">
        <f t="shared" si="137"/>
        <v/>
      </c>
      <c r="M158" s="465">
        <f>IF(K158="AV",MAX($M$12:M157)+1,0)</f>
        <v>0</v>
      </c>
      <c r="N158" s="458">
        <f>IF(K158="IT",MAX($N$12:N157)+1,0)</f>
        <v>0</v>
      </c>
      <c r="O158" s="458">
        <f>IF(K158="IT2",MAX($O$12:O157)+1,0)</f>
        <v>0</v>
      </c>
      <c r="P158" s="458">
        <f>IF(K158="ITP",MAX($P$12:P157)+1,0)</f>
        <v>0</v>
      </c>
      <c r="Q158" s="458">
        <f>IF(K158="C6",MAX($Q$12:Q157)+1,0)</f>
        <v>0</v>
      </c>
      <c r="R158" s="354"/>
      <c r="S158" s="348" t="str">
        <f t="shared" si="138"/>
        <v/>
      </c>
      <c r="T158" s="308"/>
      <c r="U158" s="308"/>
      <c r="V158" s="308"/>
      <c r="W158" s="308"/>
      <c r="X158" s="308"/>
      <c r="Y158" s="308"/>
      <c r="Z158" s="308"/>
      <c r="AA158" s="308"/>
      <c r="AB158" s="308"/>
      <c r="AC158" s="308"/>
      <c r="AD158" s="497"/>
      <c r="AE158" s="308"/>
      <c r="AF158" s="200" t="str">
        <f t="shared" si="139"/>
        <v/>
      </c>
      <c r="AG158" s="320" t="str">
        <f t="shared" si="120"/>
        <v/>
      </c>
      <c r="AH158" s="33" t="str">
        <f t="shared" si="121"/>
        <v/>
      </c>
      <c r="AI158" s="99" t="str">
        <f t="shared" si="140"/>
        <v/>
      </c>
      <c r="AJ158" s="118"/>
      <c r="AK158" s="100"/>
      <c r="AL158" s="101"/>
      <c r="AM158" s="48"/>
      <c r="AP158" s="5"/>
    </row>
    <row r="159" spans="2:42" ht="15" customHeight="1">
      <c r="B159" s="337"/>
      <c r="C159" s="191"/>
      <c r="D159" s="74"/>
      <c r="E159" s="58" t="str">
        <f t="shared" si="135"/>
        <v/>
      </c>
      <c r="F159" s="351"/>
      <c r="G159" s="343" t="str">
        <f t="shared" si="136"/>
        <v/>
      </c>
      <c r="H159" s="344" t="str">
        <f t="shared" si="127"/>
        <v/>
      </c>
      <c r="I159" s="343" t="str">
        <f t="shared" si="128"/>
        <v/>
      </c>
      <c r="J159" s="383"/>
      <c r="K159" s="351"/>
      <c r="L159" s="384" t="str">
        <f t="shared" si="137"/>
        <v/>
      </c>
      <c r="M159" s="465">
        <f>IF(K159="AV",MAX($M$12:M158)+1,0)</f>
        <v>0</v>
      </c>
      <c r="N159" s="458">
        <f>IF(K159="IT",MAX($N$12:N158)+1,0)</f>
        <v>0</v>
      </c>
      <c r="O159" s="458">
        <f>IF(K159="IT2",MAX($O$12:O158)+1,0)</f>
        <v>0</v>
      </c>
      <c r="P159" s="458">
        <f>IF(K159="ITP",MAX($P$12:P158)+1,0)</f>
        <v>0</v>
      </c>
      <c r="Q159" s="458">
        <f>IF(K159="C6",MAX($Q$12:Q158)+1,0)</f>
        <v>0</v>
      </c>
      <c r="R159" s="354"/>
      <c r="S159" s="348" t="str">
        <f t="shared" si="138"/>
        <v/>
      </c>
      <c r="T159" s="308"/>
      <c r="U159" s="308"/>
      <c r="V159" s="308"/>
      <c r="W159" s="308"/>
      <c r="X159" s="308"/>
      <c r="Y159" s="308"/>
      <c r="Z159" s="308"/>
      <c r="AA159" s="308"/>
      <c r="AB159" s="308"/>
      <c r="AC159" s="308"/>
      <c r="AD159" s="497"/>
      <c r="AE159" s="308"/>
      <c r="AF159" s="200" t="str">
        <f t="shared" si="139"/>
        <v/>
      </c>
      <c r="AG159" s="320" t="str">
        <f t="shared" si="120"/>
        <v/>
      </c>
      <c r="AH159" s="33" t="str">
        <f t="shared" si="121"/>
        <v/>
      </c>
      <c r="AI159" s="99" t="str">
        <f t="shared" si="140"/>
        <v/>
      </c>
      <c r="AJ159" s="118"/>
      <c r="AK159" s="109"/>
      <c r="AL159" s="106"/>
      <c r="AM159" s="48"/>
      <c r="AP159" s="5"/>
    </row>
    <row r="160" spans="2:42" ht="15" customHeight="1">
      <c r="B160" s="337"/>
      <c r="C160" s="191"/>
      <c r="D160" s="74"/>
      <c r="E160" s="58" t="str">
        <f t="shared" si="135"/>
        <v/>
      </c>
      <c r="F160" s="351"/>
      <c r="G160" s="343" t="str">
        <f t="shared" si="136"/>
        <v/>
      </c>
      <c r="H160" s="344" t="str">
        <f t="shared" si="127"/>
        <v/>
      </c>
      <c r="I160" s="343" t="str">
        <f t="shared" si="128"/>
        <v/>
      </c>
      <c r="J160" s="383"/>
      <c r="K160" s="351"/>
      <c r="L160" s="384" t="str">
        <f t="shared" si="137"/>
        <v/>
      </c>
      <c r="M160" s="465">
        <f>IF(K160="AV",MAX($M$12:M159)+1,0)</f>
        <v>0</v>
      </c>
      <c r="N160" s="458">
        <f>IF(K160="IT",MAX($N$12:N159)+1,0)</f>
        <v>0</v>
      </c>
      <c r="O160" s="458">
        <f>IF(K160="IT2",MAX($O$12:O159)+1,0)</f>
        <v>0</v>
      </c>
      <c r="P160" s="458">
        <f>IF(K160="ITP",MAX($P$12:P159)+1,0)</f>
        <v>0</v>
      </c>
      <c r="Q160" s="458">
        <f>IF(K160="C6",MAX($Q$12:Q159)+1,0)</f>
        <v>0</v>
      </c>
      <c r="R160" s="354"/>
      <c r="S160" s="348" t="str">
        <f t="shared" si="138"/>
        <v/>
      </c>
      <c r="T160" s="308"/>
      <c r="U160" s="308"/>
      <c r="V160" s="308"/>
      <c r="W160" s="308"/>
      <c r="X160" s="308"/>
      <c r="Y160" s="308"/>
      <c r="Z160" s="308"/>
      <c r="AA160" s="308"/>
      <c r="AB160" s="308"/>
      <c r="AC160" s="308"/>
      <c r="AD160" s="497"/>
      <c r="AE160" s="308"/>
      <c r="AF160" s="200" t="str">
        <f t="shared" si="139"/>
        <v/>
      </c>
      <c r="AG160" s="320" t="str">
        <f t="shared" si="120"/>
        <v/>
      </c>
      <c r="AH160" s="33" t="str">
        <f t="shared" si="121"/>
        <v/>
      </c>
      <c r="AI160" s="99" t="str">
        <f t="shared" si="140"/>
        <v/>
      </c>
      <c r="AJ160" s="118"/>
      <c r="AK160" s="109"/>
      <c r="AL160" s="106"/>
      <c r="AM160" s="48"/>
      <c r="AP160" s="5"/>
    </row>
    <row r="161" spans="2:42" ht="15" customHeight="1">
      <c r="B161" s="337"/>
      <c r="C161" s="191"/>
      <c r="D161" s="74"/>
      <c r="E161" s="58" t="str">
        <f t="shared" si="135"/>
        <v/>
      </c>
      <c r="F161" s="351"/>
      <c r="G161" s="343" t="str">
        <f t="shared" si="136"/>
        <v/>
      </c>
      <c r="H161" s="344" t="str">
        <f t="shared" si="127"/>
        <v/>
      </c>
      <c r="I161" s="343" t="str">
        <f t="shared" si="128"/>
        <v/>
      </c>
      <c r="J161" s="383"/>
      <c r="K161" s="351"/>
      <c r="L161" s="384" t="str">
        <f t="shared" si="137"/>
        <v/>
      </c>
      <c r="M161" s="465">
        <f>IF(K161="AV",MAX($M$12:M160)+1,0)</f>
        <v>0</v>
      </c>
      <c r="N161" s="458">
        <f>IF(K161="IT",MAX($N$12:N160)+1,0)</f>
        <v>0</v>
      </c>
      <c r="O161" s="458">
        <f>IF(K161="IT2",MAX($O$12:O160)+1,0)</f>
        <v>0</v>
      </c>
      <c r="P161" s="458">
        <f>IF(K161="ITP",MAX($P$12:P160)+1,0)</f>
        <v>0</v>
      </c>
      <c r="Q161" s="458">
        <f>IF(K161="C6",MAX($Q$12:Q160)+1,0)</f>
        <v>0</v>
      </c>
      <c r="R161" s="354"/>
      <c r="S161" s="348" t="str">
        <f t="shared" si="138"/>
        <v/>
      </c>
      <c r="T161" s="308"/>
      <c r="U161" s="308"/>
      <c r="V161" s="308"/>
      <c r="W161" s="308"/>
      <c r="X161" s="308"/>
      <c r="Y161" s="308"/>
      <c r="Z161" s="308"/>
      <c r="AA161" s="308"/>
      <c r="AB161" s="308"/>
      <c r="AC161" s="308"/>
      <c r="AD161" s="497"/>
      <c r="AE161" s="308"/>
      <c r="AF161" s="200" t="str">
        <f t="shared" si="139"/>
        <v/>
      </c>
      <c r="AG161" s="320" t="str">
        <f t="shared" si="120"/>
        <v/>
      </c>
      <c r="AH161" s="33" t="str">
        <f t="shared" si="121"/>
        <v/>
      </c>
      <c r="AI161" s="99" t="str">
        <f t="shared" si="140"/>
        <v/>
      </c>
      <c r="AJ161" s="118"/>
      <c r="AK161" s="109"/>
      <c r="AL161" s="106"/>
      <c r="AM161" s="48"/>
      <c r="AP161" s="5"/>
    </row>
    <row r="162" spans="2:42" ht="15" customHeight="1">
      <c r="B162" s="337"/>
      <c r="C162" s="191"/>
      <c r="D162" s="74"/>
      <c r="E162" s="58" t="str">
        <f t="shared" si="135"/>
        <v/>
      </c>
      <c r="F162" s="351"/>
      <c r="G162" s="343" t="str">
        <f t="shared" si="136"/>
        <v/>
      </c>
      <c r="H162" s="344" t="str">
        <f t="shared" si="127"/>
        <v/>
      </c>
      <c r="I162" s="343" t="str">
        <f t="shared" si="128"/>
        <v/>
      </c>
      <c r="J162" s="383"/>
      <c r="K162" s="351"/>
      <c r="L162" s="384" t="str">
        <f t="shared" si="137"/>
        <v/>
      </c>
      <c r="M162" s="465">
        <f>IF(K162="AV",MAX($M$12:M161)+1,0)</f>
        <v>0</v>
      </c>
      <c r="N162" s="458">
        <f>IF(K162="IT",MAX($N$12:N161)+1,0)</f>
        <v>0</v>
      </c>
      <c r="O162" s="458">
        <f>IF(K162="IT2",MAX($O$12:O161)+1,0)</f>
        <v>0</v>
      </c>
      <c r="P162" s="458">
        <f>IF(K162="ITP",MAX($P$12:P161)+1,0)</f>
        <v>0</v>
      </c>
      <c r="Q162" s="458">
        <f>IF(K162="C6",MAX($Q$12:Q161)+1,0)</f>
        <v>0</v>
      </c>
      <c r="R162" s="354"/>
      <c r="S162" s="348" t="str">
        <f t="shared" si="138"/>
        <v/>
      </c>
      <c r="T162" s="308"/>
      <c r="U162" s="308"/>
      <c r="V162" s="308"/>
      <c r="W162" s="308"/>
      <c r="X162" s="308"/>
      <c r="Y162" s="308"/>
      <c r="Z162" s="308"/>
      <c r="AA162" s="308"/>
      <c r="AB162" s="308"/>
      <c r="AC162" s="308"/>
      <c r="AD162" s="497"/>
      <c r="AE162" s="308"/>
      <c r="AF162" s="200" t="str">
        <f t="shared" si="139"/>
        <v/>
      </c>
      <c r="AG162" s="320" t="str">
        <f t="shared" si="120"/>
        <v/>
      </c>
      <c r="AH162" s="33" t="str">
        <f t="shared" si="121"/>
        <v/>
      </c>
      <c r="AI162" s="99" t="str">
        <f t="shared" si="140"/>
        <v/>
      </c>
      <c r="AJ162" s="118"/>
      <c r="AK162" s="109"/>
      <c r="AL162" s="106"/>
      <c r="AM162" s="48"/>
      <c r="AP162" s="5"/>
    </row>
    <row r="163" spans="2:42" ht="15" customHeight="1">
      <c r="B163" s="337"/>
      <c r="C163" s="191"/>
      <c r="D163" s="74"/>
      <c r="E163" s="58" t="str">
        <f t="shared" si="135"/>
        <v/>
      </c>
      <c r="F163" s="351"/>
      <c r="G163" s="343" t="str">
        <f t="shared" si="136"/>
        <v/>
      </c>
      <c r="H163" s="344" t="str">
        <f t="shared" si="127"/>
        <v/>
      </c>
      <c r="I163" s="343" t="str">
        <f t="shared" si="128"/>
        <v/>
      </c>
      <c r="J163" s="383"/>
      <c r="K163" s="351"/>
      <c r="L163" s="384" t="str">
        <f t="shared" si="137"/>
        <v/>
      </c>
      <c r="M163" s="465">
        <f>IF(K163="AV",MAX($M$12:M162)+1,0)</f>
        <v>0</v>
      </c>
      <c r="N163" s="458">
        <f>IF(K163="IT",MAX($N$12:N162)+1,0)</f>
        <v>0</v>
      </c>
      <c r="O163" s="458">
        <f>IF(K163="IT2",MAX($O$12:O162)+1,0)</f>
        <v>0</v>
      </c>
      <c r="P163" s="458">
        <f>IF(K163="ITP",MAX($P$12:P162)+1,0)</f>
        <v>0</v>
      </c>
      <c r="Q163" s="458">
        <f>IF(K163="C6",MAX($Q$12:Q162)+1,0)</f>
        <v>0</v>
      </c>
      <c r="R163" s="354"/>
      <c r="S163" s="348" t="str">
        <f t="shared" si="138"/>
        <v/>
      </c>
      <c r="T163" s="308"/>
      <c r="U163" s="308"/>
      <c r="V163" s="308"/>
      <c r="W163" s="308"/>
      <c r="X163" s="308"/>
      <c r="Y163" s="308"/>
      <c r="Z163" s="308"/>
      <c r="AA163" s="308"/>
      <c r="AB163" s="308"/>
      <c r="AC163" s="308"/>
      <c r="AD163" s="497"/>
      <c r="AE163" s="308"/>
      <c r="AF163" s="200" t="str">
        <f t="shared" si="139"/>
        <v/>
      </c>
      <c r="AG163" s="320" t="str">
        <f t="shared" si="120"/>
        <v/>
      </c>
      <c r="AH163" s="33" t="str">
        <f t="shared" si="121"/>
        <v/>
      </c>
      <c r="AI163" s="99" t="str">
        <f t="shared" si="140"/>
        <v/>
      </c>
      <c r="AJ163" s="118"/>
      <c r="AK163" s="109"/>
      <c r="AL163" s="106"/>
      <c r="AM163" s="48"/>
      <c r="AP163" s="5"/>
    </row>
    <row r="164" spans="2:42" ht="15" customHeight="1">
      <c r="B164" s="337"/>
      <c r="C164" s="191"/>
      <c r="D164" s="74"/>
      <c r="E164" s="58" t="str">
        <f t="shared" si="135"/>
        <v/>
      </c>
      <c r="F164" s="351"/>
      <c r="G164" s="343" t="str">
        <f t="shared" si="136"/>
        <v/>
      </c>
      <c r="H164" s="344" t="str">
        <f t="shared" si="127"/>
        <v/>
      </c>
      <c r="I164" s="343" t="str">
        <f t="shared" si="128"/>
        <v/>
      </c>
      <c r="J164" s="383"/>
      <c r="K164" s="351"/>
      <c r="L164" s="384" t="str">
        <f t="shared" si="137"/>
        <v/>
      </c>
      <c r="M164" s="465">
        <f>IF(K164="AV",MAX($M$12:M163)+1,0)</f>
        <v>0</v>
      </c>
      <c r="N164" s="458">
        <f>IF(K164="IT",MAX($N$12:N163)+1,0)</f>
        <v>0</v>
      </c>
      <c r="O164" s="458">
        <f>IF(K164="IT2",MAX($O$12:O163)+1,0)</f>
        <v>0</v>
      </c>
      <c r="P164" s="458">
        <f>IF(K164="ITP",MAX($P$12:P163)+1,0)</f>
        <v>0</v>
      </c>
      <c r="Q164" s="458">
        <f>IF(K164="C6",MAX($Q$12:Q163)+1,0)</f>
        <v>0</v>
      </c>
      <c r="R164" s="354"/>
      <c r="S164" s="348" t="str">
        <f t="shared" si="138"/>
        <v/>
      </c>
      <c r="T164" s="308"/>
      <c r="U164" s="308"/>
      <c r="V164" s="308"/>
      <c r="W164" s="308"/>
      <c r="X164" s="308"/>
      <c r="Y164" s="308"/>
      <c r="Z164" s="308"/>
      <c r="AA164" s="308"/>
      <c r="AB164" s="308"/>
      <c r="AC164" s="308"/>
      <c r="AD164" s="497"/>
      <c r="AE164" s="308"/>
      <c r="AF164" s="200">
        <f t="shared" si="139"/>
        <v>46351.33</v>
      </c>
      <c r="AG164" s="320">
        <f t="shared" si="120"/>
        <v>46351.33</v>
      </c>
      <c r="AH164" s="33" t="str">
        <f t="shared" si="121"/>
        <v>P</v>
      </c>
      <c r="AI164" s="99" t="str">
        <f t="shared" si="140"/>
        <v>CARRO</v>
      </c>
      <c r="AJ164" s="218">
        <v>46318</v>
      </c>
      <c r="AK164" s="217" t="s">
        <v>459</v>
      </c>
      <c r="AL164" s="219">
        <v>33.33</v>
      </c>
      <c r="AM164" s="48"/>
      <c r="AP164" s="5"/>
    </row>
    <row r="165" spans="2:42" ht="15" customHeight="1">
      <c r="B165" s="337"/>
      <c r="C165" s="191"/>
      <c r="D165" s="74"/>
      <c r="E165" s="58" t="str">
        <f t="shared" si="135"/>
        <v/>
      </c>
      <c r="F165" s="351"/>
      <c r="G165" s="343" t="str">
        <f t="shared" si="136"/>
        <v/>
      </c>
      <c r="H165" s="344" t="str">
        <f t="shared" si="127"/>
        <v/>
      </c>
      <c r="I165" s="343" t="str">
        <f t="shared" si="128"/>
        <v/>
      </c>
      <c r="J165" s="383"/>
      <c r="K165" s="351"/>
      <c r="L165" s="384" t="str">
        <f t="shared" si="137"/>
        <v/>
      </c>
      <c r="M165" s="465">
        <f>IF(K165="AV",MAX($M$12:M164)+1,0)</f>
        <v>0</v>
      </c>
      <c r="N165" s="458">
        <f>IF(K165="IT",MAX($N$12:N164)+1,0)</f>
        <v>0</v>
      </c>
      <c r="O165" s="458">
        <f>IF(K165="IT2",MAX($O$12:O164)+1,0)</f>
        <v>0</v>
      </c>
      <c r="P165" s="458">
        <f>IF(K165="ITP",MAX($P$12:P164)+1,0)</f>
        <v>0</v>
      </c>
      <c r="Q165" s="458">
        <f>IF(K165="C6",MAX($Q$12:Q164)+1,0)</f>
        <v>0</v>
      </c>
      <c r="R165" s="354"/>
      <c r="S165" s="348" t="str">
        <f t="shared" si="138"/>
        <v/>
      </c>
      <c r="T165" s="312"/>
      <c r="U165" s="308"/>
      <c r="V165" s="308"/>
      <c r="W165" s="308"/>
      <c r="X165" s="308"/>
      <c r="Y165" s="308"/>
      <c r="Z165" s="308"/>
      <c r="AA165" s="308"/>
      <c r="AB165" s="308"/>
      <c r="AC165" s="308"/>
      <c r="AD165" s="497"/>
      <c r="AE165" s="308"/>
      <c r="AF165" s="200">
        <f t="shared" si="139"/>
        <v>46412</v>
      </c>
      <c r="AG165" s="320">
        <f t="shared" si="120"/>
        <v>46412</v>
      </c>
      <c r="AH165" s="33" t="str">
        <f t="shared" si="121"/>
        <v>P</v>
      </c>
      <c r="AI165" s="99" t="str">
        <f t="shared" si="140"/>
        <v>JOÃO</v>
      </c>
      <c r="AJ165" s="218">
        <v>46311</v>
      </c>
      <c r="AK165" s="217" t="s">
        <v>414</v>
      </c>
      <c r="AL165" s="219">
        <v>101</v>
      </c>
      <c r="AM165" s="48"/>
      <c r="AP165" s="5"/>
    </row>
    <row r="166" spans="2:42" ht="15" customHeight="1">
      <c r="B166" s="337"/>
      <c r="C166" s="191"/>
      <c r="D166" s="74"/>
      <c r="E166" s="58" t="str">
        <f t="shared" si="135"/>
        <v/>
      </c>
      <c r="F166" s="351"/>
      <c r="G166" s="343" t="str">
        <f t="shared" si="136"/>
        <v/>
      </c>
      <c r="H166" s="344" t="str">
        <f t="shared" si="127"/>
        <v/>
      </c>
      <c r="I166" s="343" t="str">
        <f t="shared" si="128"/>
        <v/>
      </c>
      <c r="J166" s="383"/>
      <c r="K166" s="351"/>
      <c r="L166" s="384" t="str">
        <f t="shared" si="137"/>
        <v/>
      </c>
      <c r="M166" s="465">
        <f>IF(K166="AV",MAX($M$12:M165)+1,0)</f>
        <v>0</v>
      </c>
      <c r="N166" s="458">
        <f>IF(K166="IT",MAX($N$12:N165)+1,0)</f>
        <v>0</v>
      </c>
      <c r="O166" s="458">
        <f>IF(K166="IT2",MAX($O$12:O165)+1,0)</f>
        <v>0</v>
      </c>
      <c r="P166" s="458">
        <f>IF(K166="ITP",MAX($P$12:P165)+1,0)</f>
        <v>0</v>
      </c>
      <c r="Q166" s="458">
        <f>IF(K166="C6",MAX($Q$12:Q165)+1,0)</f>
        <v>0</v>
      </c>
      <c r="R166" s="354"/>
      <c r="S166" s="348" t="str">
        <f t="shared" si="138"/>
        <v/>
      </c>
      <c r="T166" s="312"/>
      <c r="U166" s="308"/>
      <c r="V166" s="308"/>
      <c r="W166" s="308"/>
      <c r="X166" s="308"/>
      <c r="Y166" s="308"/>
      <c r="Z166" s="308"/>
      <c r="AA166" s="308"/>
      <c r="AB166" s="308"/>
      <c r="AC166" s="308"/>
      <c r="AD166" s="497"/>
      <c r="AE166" s="308"/>
      <c r="AF166" s="200">
        <f t="shared" si="139"/>
        <v>46559.24</v>
      </c>
      <c r="AG166" s="320">
        <f t="shared" si="120"/>
        <v>46559.24</v>
      </c>
      <c r="AH166" s="33" t="str">
        <f t="shared" si="121"/>
        <v>P</v>
      </c>
      <c r="AI166" s="99" t="str">
        <f t="shared" si="140"/>
        <v>PRUDENTIAL</v>
      </c>
      <c r="AJ166" s="218">
        <v>46311</v>
      </c>
      <c r="AK166" s="217" t="s">
        <v>29</v>
      </c>
      <c r="AL166" s="219">
        <v>248.24</v>
      </c>
      <c r="AM166" s="48"/>
      <c r="AP166" s="5"/>
    </row>
    <row r="167" spans="2:42" ht="15" customHeight="1">
      <c r="B167" s="337"/>
      <c r="C167" s="191"/>
      <c r="D167" s="74"/>
      <c r="E167" s="58" t="str">
        <f t="shared" si="135"/>
        <v/>
      </c>
      <c r="F167" s="351"/>
      <c r="G167" s="343" t="str">
        <f t="shared" si="136"/>
        <v/>
      </c>
      <c r="H167" s="344" t="str">
        <f t="shared" si="127"/>
        <v/>
      </c>
      <c r="I167" s="343" t="str">
        <f t="shared" si="128"/>
        <v/>
      </c>
      <c r="J167" s="383"/>
      <c r="K167" s="351"/>
      <c r="L167" s="384" t="str">
        <f t="shared" si="137"/>
        <v/>
      </c>
      <c r="M167" s="465">
        <f>IF(K167="AV",MAX($M$12:M166)+1,0)</f>
        <v>0</v>
      </c>
      <c r="N167" s="458">
        <f>IF(K167="IT",MAX($N$12:N166)+1,0)</f>
        <v>0</v>
      </c>
      <c r="O167" s="458">
        <f>IF(K167="IT2",MAX($O$12:O166)+1,0)</f>
        <v>0</v>
      </c>
      <c r="P167" s="458">
        <f>IF(K167="ITP",MAX($P$12:P166)+1,0)</f>
        <v>0</v>
      </c>
      <c r="Q167" s="458">
        <f>IF(K167="C6",MAX($Q$12:Q166)+1,0)</f>
        <v>0</v>
      </c>
      <c r="R167" s="354"/>
      <c r="S167" s="348" t="str">
        <f t="shared" si="138"/>
        <v/>
      </c>
      <c r="T167" s="308"/>
      <c r="U167" s="312"/>
      <c r="V167" s="308"/>
      <c r="W167" s="308"/>
      <c r="X167" s="308"/>
      <c r="Y167" s="308"/>
      <c r="Z167" s="308"/>
      <c r="AA167" s="308"/>
      <c r="AB167" s="308"/>
      <c r="AC167" s="308"/>
      <c r="AD167" s="497"/>
      <c r="AE167" s="308"/>
      <c r="AF167" s="200">
        <f t="shared" si="139"/>
        <v>46558.18</v>
      </c>
      <c r="AG167" s="320">
        <f t="shared" si="120"/>
        <v>46558.18</v>
      </c>
      <c r="AH167" s="33" t="str">
        <f t="shared" si="121"/>
        <v>P</v>
      </c>
      <c r="AI167" s="99" t="str">
        <f t="shared" si="140"/>
        <v>PRUDENTIAL</v>
      </c>
      <c r="AJ167" s="218">
        <v>46311</v>
      </c>
      <c r="AK167" s="217" t="s">
        <v>29</v>
      </c>
      <c r="AL167" s="219">
        <v>247.18</v>
      </c>
      <c r="AM167" s="48"/>
      <c r="AP167" s="5"/>
    </row>
    <row r="168" spans="2:42" ht="15" customHeight="1">
      <c r="B168" s="337"/>
      <c r="C168" s="191"/>
      <c r="D168" s="74"/>
      <c r="E168" s="58" t="str">
        <f t="shared" si="135"/>
        <v/>
      </c>
      <c r="F168" s="351"/>
      <c r="G168" s="343" t="str">
        <f t="shared" si="136"/>
        <v/>
      </c>
      <c r="H168" s="344" t="str">
        <f t="shared" si="127"/>
        <v/>
      </c>
      <c r="I168" s="343" t="str">
        <f t="shared" si="128"/>
        <v/>
      </c>
      <c r="J168" s="383"/>
      <c r="K168" s="351"/>
      <c r="L168" s="384" t="str">
        <f t="shared" si="137"/>
        <v/>
      </c>
      <c r="M168" s="465">
        <f>IF(K168="AV",MAX($M$12:M167)+1,0)</f>
        <v>0</v>
      </c>
      <c r="N168" s="458">
        <f>IF(K168="IT",MAX($N$12:N167)+1,0)</f>
        <v>0</v>
      </c>
      <c r="O168" s="458">
        <f>IF(K168="IT2",MAX($O$12:O167)+1,0)</f>
        <v>0</v>
      </c>
      <c r="P168" s="458">
        <f>IF(K168="ITP",MAX($P$12:P167)+1,0)</f>
        <v>0</v>
      </c>
      <c r="Q168" s="458">
        <f>IF(K168="C6",MAX($Q$12:Q167)+1,0)</f>
        <v>0</v>
      </c>
      <c r="R168" s="354"/>
      <c r="S168" s="348" t="str">
        <f t="shared" si="138"/>
        <v/>
      </c>
      <c r="T168" s="308"/>
      <c r="U168" s="312"/>
      <c r="V168" s="308"/>
      <c r="W168" s="308"/>
      <c r="X168" s="308"/>
      <c r="Y168" s="308"/>
      <c r="Z168" s="308"/>
      <c r="AA168" s="308"/>
      <c r="AB168" s="308"/>
      <c r="AC168" s="308"/>
      <c r="AD168" s="497"/>
      <c r="AE168" s="308"/>
      <c r="AF168" s="200">
        <f t="shared" si="139"/>
        <v>46307.15</v>
      </c>
      <c r="AG168" s="320">
        <f t="shared" si="120"/>
        <v>46307.15</v>
      </c>
      <c r="AH168" s="33" t="str">
        <f t="shared" si="121"/>
        <v>P</v>
      </c>
      <c r="AI168" s="99" t="str">
        <f t="shared" si="140"/>
        <v>TV</v>
      </c>
      <c r="AJ168" s="218">
        <v>46303</v>
      </c>
      <c r="AK168" s="217" t="s">
        <v>376</v>
      </c>
      <c r="AL168" s="219">
        <v>4.1500000000000004</v>
      </c>
      <c r="AM168" s="48"/>
      <c r="AP168" s="5"/>
    </row>
    <row r="169" spans="2:42" ht="15" customHeight="1">
      <c r="B169" s="337"/>
      <c r="C169" s="191"/>
      <c r="D169" s="74"/>
      <c r="E169" s="58" t="str">
        <f t="shared" si="135"/>
        <v/>
      </c>
      <c r="F169" s="351"/>
      <c r="G169" s="343" t="str">
        <f t="shared" si="136"/>
        <v/>
      </c>
      <c r="H169" s="344" t="str">
        <f t="shared" si="127"/>
        <v/>
      </c>
      <c r="I169" s="343" t="str">
        <f t="shared" si="128"/>
        <v/>
      </c>
      <c r="J169" s="383"/>
      <c r="K169" s="351"/>
      <c r="L169" s="384" t="str">
        <f t="shared" si="137"/>
        <v/>
      </c>
      <c r="M169" s="465">
        <f>IF(K169="AV",MAX($M$12:M168)+1,0)</f>
        <v>0</v>
      </c>
      <c r="N169" s="458">
        <f>IF(K169="IT",MAX($N$12:N168)+1,0)</f>
        <v>0</v>
      </c>
      <c r="O169" s="458">
        <f>IF(K169="IT2",MAX($O$12:O168)+1,0)</f>
        <v>0</v>
      </c>
      <c r="P169" s="458">
        <f>IF(K169="ITP",MAX($P$12:P168)+1,0)</f>
        <v>0</v>
      </c>
      <c r="Q169" s="458">
        <f>IF(K169="C6",MAX($Q$12:Q168)+1,0)</f>
        <v>0</v>
      </c>
      <c r="R169" s="354"/>
      <c r="S169" s="348" t="str">
        <f t="shared" si="138"/>
        <v/>
      </c>
      <c r="T169" s="308"/>
      <c r="U169" s="308"/>
      <c r="V169" s="308"/>
      <c r="W169" s="308"/>
      <c r="X169" s="308"/>
      <c r="Y169" s="308"/>
      <c r="Z169" s="308"/>
      <c r="AA169" s="308"/>
      <c r="AB169" s="308"/>
      <c r="AC169" s="308"/>
      <c r="AD169" s="497"/>
      <c r="AE169" s="308"/>
      <c r="AF169" s="200">
        <f t="shared" si="139"/>
        <v>46981.78</v>
      </c>
      <c r="AG169" s="320">
        <f t="shared" si="120"/>
        <v>46981.78</v>
      </c>
      <c r="AH169" s="33" t="str">
        <f t="shared" si="121"/>
        <v>P</v>
      </c>
      <c r="AI169" s="99" t="str">
        <f t="shared" si="140"/>
        <v>JOÃO</v>
      </c>
      <c r="AJ169" s="218">
        <v>46282</v>
      </c>
      <c r="AK169" s="217" t="s">
        <v>413</v>
      </c>
      <c r="AL169" s="219">
        <v>699.78</v>
      </c>
      <c r="AM169" s="48"/>
      <c r="AP169" s="5"/>
    </row>
    <row r="170" spans="2:42" ht="15" customHeight="1">
      <c r="B170" s="337"/>
      <c r="C170" s="191"/>
      <c r="D170" s="74"/>
      <c r="E170" s="58" t="str">
        <f t="shared" si="135"/>
        <v/>
      </c>
      <c r="F170" s="351"/>
      <c r="G170" s="343" t="str">
        <f t="shared" si="136"/>
        <v/>
      </c>
      <c r="H170" s="344" t="str">
        <f t="shared" si="127"/>
        <v/>
      </c>
      <c r="I170" s="343" t="str">
        <f t="shared" si="128"/>
        <v/>
      </c>
      <c r="J170" s="383"/>
      <c r="K170" s="351"/>
      <c r="L170" s="384" t="str">
        <f t="shared" si="137"/>
        <v/>
      </c>
      <c r="M170" s="465">
        <f>IF(K170="AV",MAX($M$12:M169)+1,0)</f>
        <v>0</v>
      </c>
      <c r="N170" s="458">
        <f>IF(K170="IT",MAX($N$12:N169)+1,0)</f>
        <v>0</v>
      </c>
      <c r="O170" s="458">
        <f>IF(K170="IT2",MAX($O$12:O169)+1,0)</f>
        <v>0</v>
      </c>
      <c r="P170" s="458">
        <f>IF(K170="ITP",MAX($P$12:P169)+1,0)</f>
        <v>0</v>
      </c>
      <c r="Q170" s="458">
        <f>IF(K170="C6",MAX($Q$12:Q169)+1,0)</f>
        <v>0</v>
      </c>
      <c r="R170" s="354"/>
      <c r="S170" s="348" t="str">
        <f t="shared" si="138"/>
        <v/>
      </c>
      <c r="T170" s="308"/>
      <c r="U170" s="308"/>
      <c r="V170" s="308"/>
      <c r="W170" s="308"/>
      <c r="X170" s="308"/>
      <c r="Y170" s="308"/>
      <c r="Z170" s="308"/>
      <c r="AA170" s="308"/>
      <c r="AB170" s="308"/>
      <c r="AC170" s="308"/>
      <c r="AD170" s="497"/>
      <c r="AE170" s="308"/>
      <c r="AF170" s="200">
        <f t="shared" si="139"/>
        <v>46335.839999999997</v>
      </c>
      <c r="AG170" s="320">
        <f t="shared" si="120"/>
        <v>46335.839999999997</v>
      </c>
      <c r="AH170" s="33" t="str">
        <f t="shared" si="121"/>
        <v>P</v>
      </c>
      <c r="AI170" s="99" t="str">
        <f t="shared" si="140"/>
        <v>JOÃO</v>
      </c>
      <c r="AJ170" s="218">
        <v>46267</v>
      </c>
      <c r="AK170" s="217" t="s">
        <v>408</v>
      </c>
      <c r="AL170" s="219">
        <v>68.84</v>
      </c>
      <c r="AM170" s="48"/>
      <c r="AP170" s="5"/>
    </row>
    <row r="171" spans="2:42" ht="15" customHeight="1">
      <c r="B171" s="337"/>
      <c r="C171" s="191"/>
      <c r="D171" s="74"/>
      <c r="E171" s="58" t="str">
        <f t="shared" si="135"/>
        <v/>
      </c>
      <c r="F171" s="351"/>
      <c r="G171" s="343" t="str">
        <f t="shared" si="136"/>
        <v/>
      </c>
      <c r="H171" s="344" t="str">
        <f t="shared" si="127"/>
        <v/>
      </c>
      <c r="I171" s="343" t="str">
        <f t="shared" si="128"/>
        <v/>
      </c>
      <c r="J171" s="383"/>
      <c r="K171" s="351"/>
      <c r="L171" s="384" t="str">
        <f t="shared" si="137"/>
        <v/>
      </c>
      <c r="M171" s="465">
        <f>IF(K171="AV",MAX($M$12:M170)+1,0)</f>
        <v>0</v>
      </c>
      <c r="N171" s="458">
        <f>IF(K171="IT",MAX($N$12:N170)+1,0)</f>
        <v>0</v>
      </c>
      <c r="O171" s="458">
        <f>IF(K171="IT2",MAX($O$12:O170)+1,0)</f>
        <v>0</v>
      </c>
      <c r="P171" s="458">
        <f>IF(K171="ITP",MAX($P$12:P170)+1,0)</f>
        <v>0</v>
      </c>
      <c r="Q171" s="458">
        <f>IF(K171="C6",MAX($Q$12:Q170)+1,0)</f>
        <v>0</v>
      </c>
      <c r="R171" s="354"/>
      <c r="S171" s="348" t="str">
        <f t="shared" si="138"/>
        <v/>
      </c>
      <c r="T171" s="308"/>
      <c r="U171" s="308"/>
      <c r="V171" s="308"/>
      <c r="W171" s="308"/>
      <c r="X171" s="308"/>
      <c r="Y171" s="308"/>
      <c r="Z171" s="308"/>
      <c r="AA171" s="308"/>
      <c r="AB171" s="308"/>
      <c r="AC171" s="308"/>
      <c r="AD171" s="497"/>
      <c r="AE171" s="308"/>
      <c r="AF171" s="200">
        <f t="shared" si="139"/>
        <v>46345.98</v>
      </c>
      <c r="AG171" s="320">
        <f t="shared" si="120"/>
        <v>46345.98</v>
      </c>
      <c r="AH171" s="33" t="str">
        <f t="shared" si="121"/>
        <v>P</v>
      </c>
      <c r="AI171" s="99" t="str">
        <f t="shared" si="140"/>
        <v>GUTO</v>
      </c>
      <c r="AJ171" s="218">
        <v>46260</v>
      </c>
      <c r="AK171" s="217" t="s">
        <v>409</v>
      </c>
      <c r="AL171" s="219">
        <v>85.98</v>
      </c>
      <c r="AM171" s="48"/>
      <c r="AP171" s="5"/>
    </row>
    <row r="172" spans="2:42" ht="15" customHeight="1">
      <c r="B172" s="337"/>
      <c r="C172" s="191"/>
      <c r="D172" s="74"/>
      <c r="E172" s="58" t="str">
        <f>IF(OR(B172="",F172="Pago"),"",B172)</f>
        <v/>
      </c>
      <c r="F172" s="351"/>
      <c r="G172" s="343" t="str">
        <f t="shared" si="136"/>
        <v/>
      </c>
      <c r="H172" s="344" t="str">
        <f t="shared" si="127"/>
        <v/>
      </c>
      <c r="I172" s="343" t="str">
        <f t="shared" si="128"/>
        <v/>
      </c>
      <c r="J172" s="383"/>
      <c r="K172" s="351"/>
      <c r="L172" s="384" t="str">
        <f>IF(K172="AV","8",IF(AND(G172="",H172=""),"",IF(G172=H172,"P",IF(G172&lt;&gt;H172,"O"))))</f>
        <v/>
      </c>
      <c r="M172" s="465">
        <f>IF(K172="AV",MAX($M$12:M171)+1,0)</f>
        <v>0</v>
      </c>
      <c r="N172" s="458">
        <f>IF(K172="IT",MAX($N$12:N171)+1,0)</f>
        <v>0</v>
      </c>
      <c r="O172" s="458">
        <f>IF(K172="IT2",MAX($O$12:O171)+1,0)</f>
        <v>0</v>
      </c>
      <c r="P172" s="458">
        <f>IF(K172="ITP",MAX($P$12:P171)+1,0)</f>
        <v>0</v>
      </c>
      <c r="Q172" s="458">
        <f>IF(K172="C6",MAX($Q$12:Q171)+1,0)</f>
        <v>0</v>
      </c>
      <c r="R172" s="355"/>
      <c r="S172" s="348" t="str">
        <f>IF(F172="Pago",B172,"")</f>
        <v/>
      </c>
      <c r="T172" s="308"/>
      <c r="U172" s="308"/>
      <c r="V172" s="308"/>
      <c r="W172" s="308"/>
      <c r="X172" s="308"/>
      <c r="Y172" s="308"/>
      <c r="Z172" s="308"/>
      <c r="AA172" s="308"/>
      <c r="AB172" s="308"/>
      <c r="AC172" s="308"/>
      <c r="AD172" s="497"/>
      <c r="AE172" s="308"/>
      <c r="AF172" s="200">
        <f t="shared" si="139"/>
        <v>46338.16</v>
      </c>
      <c r="AG172" s="320">
        <f t="shared" si="120"/>
        <v>46338.16</v>
      </c>
      <c r="AH172" s="33" t="str">
        <f t="shared" si="121"/>
        <v>P</v>
      </c>
      <c r="AI172" s="99" t="str">
        <f t="shared" si="140"/>
        <v>JOÃO</v>
      </c>
      <c r="AJ172" s="218">
        <v>46259</v>
      </c>
      <c r="AK172" s="217" t="s">
        <v>410</v>
      </c>
      <c r="AL172" s="219">
        <v>79.16</v>
      </c>
      <c r="AM172" s="48"/>
      <c r="AP172" s="5"/>
    </row>
    <row r="173" spans="2:42" ht="15" customHeight="1">
      <c r="B173" s="338"/>
      <c r="C173" s="215"/>
      <c r="D173" s="66"/>
      <c r="E173" s="67" t="str">
        <f>IF(OR(B173="",F173="Pago"),"",B173)</f>
        <v/>
      </c>
      <c r="F173" s="356"/>
      <c r="G173" s="345" t="str">
        <f t="shared" si="136"/>
        <v/>
      </c>
      <c r="H173" s="345" t="str">
        <f t="shared" si="127"/>
        <v/>
      </c>
      <c r="I173" s="345" t="str">
        <f t="shared" si="128"/>
        <v/>
      </c>
      <c r="J173" s="357"/>
      <c r="K173" s="356"/>
      <c r="L173" s="359" t="str">
        <f>IF(K173="AV","8",IF(AND(G173="",H173=""),"",IF(G173=H173,"P",IF(G173&lt;&gt;H173,"O"))))</f>
        <v/>
      </c>
      <c r="M173" s="466">
        <f>IF(K173="AV",MAX($M$12:M172)+1,0)</f>
        <v>0</v>
      </c>
      <c r="N173" s="459">
        <f>IF(K173="IT",MAX($N$12:N172)+1,0)</f>
        <v>0</v>
      </c>
      <c r="O173" s="459">
        <f>IF(K173="IT2",MAX($O$12:O172)+1,0)</f>
        <v>0</v>
      </c>
      <c r="P173" s="459">
        <f>IF(K173="ITP",MAX($P$12:P172)+1,0)</f>
        <v>0</v>
      </c>
      <c r="Q173" s="459">
        <f>IF(K173="C6",MAX($Q$12:Q172)+1,0)</f>
        <v>0</v>
      </c>
      <c r="R173" s="360"/>
      <c r="S173" s="349" t="str">
        <f>IF(F173="Pago",B173,"")</f>
        <v/>
      </c>
      <c r="T173" s="308"/>
      <c r="U173" s="308"/>
      <c r="V173" s="308"/>
      <c r="W173" s="308"/>
      <c r="X173" s="308"/>
      <c r="Y173" s="308"/>
      <c r="Z173" s="308"/>
      <c r="AA173" s="308"/>
      <c r="AB173" s="308"/>
      <c r="AC173" s="308"/>
      <c r="AD173" s="497"/>
      <c r="AE173" s="308"/>
      <c r="AF173" s="201">
        <f t="shared" si="139"/>
        <v>46400.17</v>
      </c>
      <c r="AG173" s="321">
        <f t="shared" si="120"/>
        <v>46400.17</v>
      </c>
      <c r="AH173" s="115" t="str">
        <f t="shared" si="121"/>
        <v>P</v>
      </c>
      <c r="AI173" s="99" t="str">
        <f t="shared" si="140"/>
        <v>JOÃO</v>
      </c>
      <c r="AJ173" s="218">
        <v>46259</v>
      </c>
      <c r="AK173" s="217" t="s">
        <v>411</v>
      </c>
      <c r="AL173" s="219">
        <v>141.16999999999999</v>
      </c>
      <c r="AM173" s="116"/>
      <c r="AP173" s="5"/>
    </row>
    <row r="174" spans="2:42" ht="15" customHeight="1">
      <c r="B174" s="308"/>
      <c r="C174" s="308"/>
      <c r="D174" s="308"/>
      <c r="E174" s="308"/>
      <c r="F174" s="308"/>
      <c r="G174" s="308"/>
      <c r="H174" s="308"/>
      <c r="I174" s="308"/>
      <c r="J174" s="308"/>
      <c r="K174" s="308"/>
      <c r="L174" s="308"/>
      <c r="M174" s="308"/>
      <c r="N174" s="308"/>
      <c r="O174" s="308"/>
      <c r="P174" s="308"/>
      <c r="Q174" s="308"/>
      <c r="R174" s="308"/>
      <c r="S174" s="308"/>
      <c r="T174" s="308"/>
      <c r="U174" s="308"/>
      <c r="V174" s="308"/>
      <c r="W174" s="308"/>
      <c r="X174" s="308"/>
      <c r="Y174" s="308"/>
      <c r="Z174" s="308"/>
      <c r="AA174" s="308"/>
      <c r="AB174" s="308"/>
      <c r="AC174" s="308"/>
      <c r="AD174" s="497"/>
      <c r="AE174" s="308"/>
      <c r="AF174" s="197"/>
      <c r="AJ174" s="565">
        <f>SUM(AL154:AL173)</f>
        <v>1708.83</v>
      </c>
      <c r="AK174" s="566"/>
      <c r="AL174" s="567"/>
      <c r="AP174" s="5"/>
    </row>
    <row r="175" spans="2:42" ht="15" customHeight="1">
      <c r="B175" s="545" t="s">
        <v>129</v>
      </c>
      <c r="C175" s="546"/>
      <c r="D175" s="547"/>
      <c r="E175" s="551">
        <f>SUM(E177:E187)</f>
        <v>0</v>
      </c>
      <c r="F175" s="552"/>
      <c r="G175" s="322"/>
      <c r="H175" s="220"/>
      <c r="I175" s="342" t="str">
        <f t="shared" si="123"/>
        <v/>
      </c>
      <c r="J175" s="555">
        <f>SUM(S177:S187)</f>
        <v>0</v>
      </c>
      <c r="K175" s="555"/>
      <c r="L175" s="556"/>
      <c r="M175" s="460"/>
      <c r="N175" s="456"/>
      <c r="O175" s="456"/>
      <c r="P175" s="456"/>
      <c r="Q175" s="461"/>
      <c r="R175" s="559">
        <f>SUM(E175,J175)</f>
        <v>0</v>
      </c>
      <c r="S175" s="560"/>
      <c r="T175" s="308"/>
      <c r="U175" s="308"/>
      <c r="V175" s="308"/>
      <c r="W175" s="308"/>
      <c r="X175" s="308"/>
      <c r="Y175" s="308"/>
      <c r="Z175" s="308"/>
      <c r="AA175" s="308"/>
      <c r="AB175" s="308"/>
      <c r="AC175" s="308"/>
      <c r="AD175" s="497"/>
      <c r="AE175" s="308"/>
      <c r="AF175" s="197"/>
      <c r="AJ175" s="570"/>
      <c r="AK175" s="571"/>
      <c r="AL175" s="572"/>
      <c r="AP175" s="5"/>
    </row>
    <row r="176" spans="2:42" ht="15" customHeight="1">
      <c r="B176" s="548"/>
      <c r="C176" s="549"/>
      <c r="D176" s="550"/>
      <c r="E176" s="553"/>
      <c r="F176" s="554"/>
      <c r="G176" s="323"/>
      <c r="H176" s="222"/>
      <c r="I176" s="346" t="str">
        <f t="shared" si="123"/>
        <v/>
      </c>
      <c r="J176" s="557"/>
      <c r="K176" s="557"/>
      <c r="L176" s="558"/>
      <c r="M176" s="462"/>
      <c r="N176" s="457"/>
      <c r="O176" s="457"/>
      <c r="P176" s="457"/>
      <c r="Q176" s="463"/>
      <c r="R176" s="561"/>
      <c r="S176" s="562"/>
      <c r="T176" s="308"/>
      <c r="U176" s="308"/>
      <c r="V176" s="308"/>
      <c r="W176" s="308"/>
      <c r="X176" s="308"/>
      <c r="Y176" s="308"/>
      <c r="Z176" s="308"/>
      <c r="AA176" s="308"/>
      <c r="AB176" s="308"/>
      <c r="AC176" s="308"/>
      <c r="AD176" s="497"/>
      <c r="AE176" s="308"/>
      <c r="AF176" s="197"/>
      <c r="AP176" s="5"/>
    </row>
    <row r="177" spans="2:42" ht="15" customHeight="1">
      <c r="B177" s="337"/>
      <c r="C177" s="191"/>
      <c r="D177" s="74"/>
      <c r="E177" s="58" t="str">
        <f t="shared" ref="E177:E182" si="141">IF(OR(B177="",F177="Pago"),"",B177)</f>
        <v/>
      </c>
      <c r="F177" s="351"/>
      <c r="G177" s="343" t="str">
        <f t="shared" ref="G177:G182" si="142">IF(B177="","",B177+C177)</f>
        <v/>
      </c>
      <c r="H177" s="343" t="str">
        <f t="shared" ref="H177:H182" si="143">IFERROR(VLOOKUP(G177,$AG$5:$AG$174,1,0),"")</f>
        <v/>
      </c>
      <c r="I177" s="343" t="str">
        <f>IF(H177="","","EXTRAS JOÃO")</f>
        <v/>
      </c>
      <c r="J177" s="383"/>
      <c r="K177" s="351"/>
      <c r="L177" s="384" t="str">
        <f t="shared" ref="L177:L182" si="144">IF(K177="AV","8",IF(AND(G177="",H177=""),"",IF(G177=H177,"P",IF(G177&lt;&gt;H177,"O"))))</f>
        <v/>
      </c>
      <c r="M177" s="465">
        <f>IF(K177="AV",MAX($M$12:M176)+1,0)</f>
        <v>0</v>
      </c>
      <c r="N177" s="458">
        <f>IF(K177="IT",MAX($N$12:N176)+1,0)</f>
        <v>0</v>
      </c>
      <c r="O177" s="458">
        <f>IF(K177="IT2",MAX($O$12:O176)+1,0)</f>
        <v>0</v>
      </c>
      <c r="P177" s="458">
        <f>IF(K177="ITP",MAX($P$12:P176)+1,0)</f>
        <v>0</v>
      </c>
      <c r="Q177" s="458">
        <f>IF(K177="C6",MAX($Q$12:Q176)+1,0)</f>
        <v>0</v>
      </c>
      <c r="R177" s="354"/>
      <c r="S177" s="348" t="str">
        <f t="shared" ref="S177:S182" si="145">IF(F177="Pago",B177,"")</f>
        <v/>
      </c>
      <c r="T177" s="308"/>
      <c r="U177" s="308"/>
      <c r="V177" s="308"/>
      <c r="W177" s="308"/>
      <c r="X177" s="308"/>
      <c r="Y177" s="308"/>
      <c r="Z177" s="308"/>
      <c r="AA177" s="308"/>
      <c r="AB177" s="308"/>
      <c r="AC177" s="308"/>
      <c r="AD177" s="497"/>
      <c r="AE177" s="308"/>
      <c r="AF177" s="197"/>
      <c r="AP177" s="5"/>
    </row>
    <row r="178" spans="2:42" ht="15" customHeight="1">
      <c r="B178" s="337"/>
      <c r="C178" s="191"/>
      <c r="D178" s="74"/>
      <c r="E178" s="58" t="str">
        <f t="shared" si="141"/>
        <v/>
      </c>
      <c r="F178" s="351"/>
      <c r="G178" s="343" t="str">
        <f t="shared" si="142"/>
        <v/>
      </c>
      <c r="H178" s="343" t="str">
        <f t="shared" si="143"/>
        <v/>
      </c>
      <c r="I178" s="343" t="str">
        <f t="shared" ref="I178:I187" si="146">IF(H178="","","EXTRAS JOÃO")</f>
        <v/>
      </c>
      <c r="J178" s="383"/>
      <c r="K178" s="351"/>
      <c r="L178" s="384" t="str">
        <f t="shared" si="144"/>
        <v/>
      </c>
      <c r="M178" s="465">
        <f>IF(K178="AV",MAX($M$12:M177)+1,0)</f>
        <v>0</v>
      </c>
      <c r="N178" s="458">
        <f>IF(K178="IT",MAX($N$12:N177)+1,0)</f>
        <v>0</v>
      </c>
      <c r="O178" s="458">
        <f>IF(K178="IT2",MAX($O$12:O177)+1,0)</f>
        <v>0</v>
      </c>
      <c r="P178" s="458">
        <f>IF(K178="ITP",MAX($P$12:P177)+1,0)</f>
        <v>0</v>
      </c>
      <c r="Q178" s="458">
        <f>IF(K178="C6",MAX($Q$12:Q177)+1,0)</f>
        <v>0</v>
      </c>
      <c r="R178" s="354"/>
      <c r="S178" s="348" t="str">
        <f t="shared" si="145"/>
        <v/>
      </c>
      <c r="T178" s="308"/>
      <c r="U178" s="308"/>
      <c r="V178" s="308"/>
      <c r="W178" s="308"/>
      <c r="X178" s="308"/>
      <c r="Y178" s="308"/>
      <c r="Z178" s="308"/>
      <c r="AA178" s="308"/>
      <c r="AB178" s="308"/>
      <c r="AC178" s="308"/>
      <c r="AD178" s="497"/>
      <c r="AE178" s="308"/>
      <c r="AF178" s="197"/>
      <c r="AP178" s="5"/>
    </row>
    <row r="179" spans="2:42" ht="15" customHeight="1">
      <c r="B179" s="337"/>
      <c r="C179" s="191"/>
      <c r="D179" s="74"/>
      <c r="E179" s="58" t="str">
        <f t="shared" si="141"/>
        <v/>
      </c>
      <c r="F179" s="351"/>
      <c r="G179" s="343" t="str">
        <f t="shared" si="142"/>
        <v/>
      </c>
      <c r="H179" s="343" t="str">
        <f t="shared" si="143"/>
        <v/>
      </c>
      <c r="I179" s="343" t="str">
        <f t="shared" si="146"/>
        <v/>
      </c>
      <c r="J179" s="383"/>
      <c r="K179" s="351"/>
      <c r="L179" s="384" t="str">
        <f t="shared" si="144"/>
        <v/>
      </c>
      <c r="M179" s="465">
        <f>IF(K179="AV",MAX($M$12:M178)+1,0)</f>
        <v>0</v>
      </c>
      <c r="N179" s="458">
        <f>IF(K179="IT",MAX($N$12:N178)+1,0)</f>
        <v>0</v>
      </c>
      <c r="O179" s="458">
        <f>IF(K179="IT2",MAX($O$12:O178)+1,0)</f>
        <v>0</v>
      </c>
      <c r="P179" s="458">
        <f>IF(K179="ITP",MAX($P$12:P178)+1,0)</f>
        <v>0</v>
      </c>
      <c r="Q179" s="458">
        <f>IF(K179="C6",MAX($Q$12:Q178)+1,0)</f>
        <v>0</v>
      </c>
      <c r="R179" s="354"/>
      <c r="S179" s="348" t="str">
        <f t="shared" si="145"/>
        <v/>
      </c>
      <c r="T179" s="308"/>
      <c r="U179" s="308"/>
      <c r="V179" s="308"/>
      <c r="W179" s="308"/>
      <c r="X179" s="308"/>
      <c r="Y179" s="308"/>
      <c r="Z179" s="308"/>
      <c r="AA179" s="308"/>
      <c r="AB179" s="308"/>
      <c r="AC179" s="308"/>
      <c r="AD179" s="497"/>
      <c r="AE179" s="308"/>
      <c r="AF179" s="197"/>
      <c r="AP179" s="5"/>
    </row>
    <row r="180" spans="2:42" ht="15" customHeight="1">
      <c r="B180" s="337"/>
      <c r="C180" s="191"/>
      <c r="D180" s="74"/>
      <c r="E180" s="58" t="str">
        <f t="shared" si="141"/>
        <v/>
      </c>
      <c r="F180" s="351"/>
      <c r="G180" s="343" t="str">
        <f t="shared" si="142"/>
        <v/>
      </c>
      <c r="H180" s="343" t="str">
        <f t="shared" si="143"/>
        <v/>
      </c>
      <c r="I180" s="343" t="str">
        <f t="shared" si="146"/>
        <v/>
      </c>
      <c r="J180" s="383"/>
      <c r="K180" s="351"/>
      <c r="L180" s="384" t="str">
        <f t="shared" si="144"/>
        <v/>
      </c>
      <c r="M180" s="465">
        <f>IF(K180="AV",MAX($M$12:M179)+1,0)</f>
        <v>0</v>
      </c>
      <c r="N180" s="458">
        <f>IF(K180="IT",MAX($N$12:N179)+1,0)</f>
        <v>0</v>
      </c>
      <c r="O180" s="458">
        <f>IF(K180="IT2",MAX($O$12:O179)+1,0)</f>
        <v>0</v>
      </c>
      <c r="P180" s="458">
        <f>IF(K180="ITP",MAX($P$12:P179)+1,0)</f>
        <v>0</v>
      </c>
      <c r="Q180" s="458">
        <f>IF(K180="C6",MAX($Q$12:Q179)+1,0)</f>
        <v>0</v>
      </c>
      <c r="R180" s="354"/>
      <c r="S180" s="348" t="str">
        <f t="shared" si="145"/>
        <v/>
      </c>
      <c r="T180" s="308"/>
      <c r="U180" s="308"/>
      <c r="V180" s="308"/>
      <c r="W180" s="308"/>
      <c r="X180" s="308"/>
      <c r="Y180" s="308"/>
      <c r="Z180" s="308"/>
      <c r="AA180" s="308"/>
      <c r="AB180" s="308"/>
      <c r="AC180" s="308"/>
      <c r="AD180" s="497"/>
      <c r="AE180" s="308"/>
      <c r="AF180" s="197"/>
      <c r="AP180" s="5"/>
    </row>
    <row r="181" spans="2:42" ht="15" customHeight="1">
      <c r="B181" s="337"/>
      <c r="C181" s="191"/>
      <c r="D181" s="74"/>
      <c r="E181" s="58" t="str">
        <f t="shared" si="141"/>
        <v/>
      </c>
      <c r="F181" s="351"/>
      <c r="G181" s="343" t="str">
        <f t="shared" si="142"/>
        <v/>
      </c>
      <c r="H181" s="343" t="str">
        <f t="shared" si="143"/>
        <v/>
      </c>
      <c r="I181" s="343" t="str">
        <f t="shared" si="146"/>
        <v/>
      </c>
      <c r="J181" s="383"/>
      <c r="K181" s="351"/>
      <c r="L181" s="384" t="str">
        <f t="shared" si="144"/>
        <v/>
      </c>
      <c r="M181" s="465">
        <f>IF(K181="AV",MAX($M$12:M180)+1,0)</f>
        <v>0</v>
      </c>
      <c r="N181" s="458">
        <f>IF(K181="IT",MAX($N$12:N180)+1,0)</f>
        <v>0</v>
      </c>
      <c r="O181" s="458">
        <f>IF(K181="IT2",MAX($O$12:O180)+1,0)</f>
        <v>0</v>
      </c>
      <c r="P181" s="458">
        <f>IF(K181="ITP",MAX($P$12:P180)+1,0)</f>
        <v>0</v>
      </c>
      <c r="Q181" s="458">
        <f>IF(K181="C6",MAX($Q$12:Q180)+1,0)</f>
        <v>0</v>
      </c>
      <c r="R181" s="354"/>
      <c r="S181" s="348" t="str">
        <f t="shared" si="145"/>
        <v/>
      </c>
      <c r="T181" s="308"/>
      <c r="U181" s="308"/>
      <c r="V181" s="308"/>
      <c r="W181" s="308"/>
      <c r="X181" s="308"/>
      <c r="Y181" s="308"/>
      <c r="Z181" s="308"/>
      <c r="AA181" s="308"/>
      <c r="AB181" s="308"/>
      <c r="AC181" s="308"/>
      <c r="AD181" s="497"/>
      <c r="AE181" s="308"/>
      <c r="AF181" s="197"/>
      <c r="AP181" s="5"/>
    </row>
    <row r="182" spans="2:42" ht="15" customHeight="1">
      <c r="B182" s="337"/>
      <c r="C182" s="191"/>
      <c r="D182" s="74"/>
      <c r="E182" s="58" t="str">
        <f t="shared" si="141"/>
        <v/>
      </c>
      <c r="F182" s="351"/>
      <c r="G182" s="343" t="str">
        <f t="shared" si="142"/>
        <v/>
      </c>
      <c r="H182" s="343" t="str">
        <f t="shared" si="143"/>
        <v/>
      </c>
      <c r="I182" s="343" t="str">
        <f t="shared" si="146"/>
        <v/>
      </c>
      <c r="J182" s="383"/>
      <c r="K182" s="351"/>
      <c r="L182" s="384" t="str">
        <f t="shared" si="144"/>
        <v/>
      </c>
      <c r="M182" s="465">
        <f>IF(K182="AV",MAX($M$12:M181)+1,0)</f>
        <v>0</v>
      </c>
      <c r="N182" s="458">
        <f>IF(K182="IT",MAX($N$12:N181)+1,0)</f>
        <v>0</v>
      </c>
      <c r="O182" s="458">
        <f>IF(K182="IT2",MAX($O$12:O181)+1,0)</f>
        <v>0</v>
      </c>
      <c r="P182" s="458">
        <f>IF(K182="ITP",MAX($P$12:P181)+1,0)</f>
        <v>0</v>
      </c>
      <c r="Q182" s="458">
        <f>IF(K182="C6",MAX($Q$12:Q181)+1,0)</f>
        <v>0</v>
      </c>
      <c r="R182" s="354"/>
      <c r="S182" s="348" t="str">
        <f t="shared" si="145"/>
        <v/>
      </c>
      <c r="T182" s="312"/>
      <c r="U182" s="308"/>
      <c r="V182" s="308"/>
      <c r="W182" s="308"/>
      <c r="X182" s="308"/>
      <c r="Y182" s="308"/>
      <c r="Z182" s="308"/>
      <c r="AA182" s="308"/>
      <c r="AB182" s="308"/>
      <c r="AC182" s="308"/>
      <c r="AD182" s="497"/>
      <c r="AE182" s="312"/>
      <c r="AF182" s="197"/>
      <c r="AP182" s="5"/>
    </row>
    <row r="183" spans="2:42" ht="15" customHeight="1">
      <c r="B183" s="337"/>
      <c r="C183" s="191"/>
      <c r="D183" s="74"/>
      <c r="E183" s="58" t="str">
        <f t="shared" ref="E183:E185" si="147">IF(OR(B183="",F183="Pago"),"",B183)</f>
        <v/>
      </c>
      <c r="F183" s="351"/>
      <c r="G183" s="343" t="str">
        <f t="shared" ref="G183:G187" si="148">IF(B183="","",B183+C183)</f>
        <v/>
      </c>
      <c r="H183" s="343" t="str">
        <f t="shared" ref="H183:H187" si="149">IFERROR(VLOOKUP(G183,$AG$5:$AG$174,1,0),"")</f>
        <v/>
      </c>
      <c r="I183" s="343" t="str">
        <f t="shared" si="146"/>
        <v/>
      </c>
      <c r="J183" s="383"/>
      <c r="K183" s="351"/>
      <c r="L183" s="384" t="str">
        <f t="shared" ref="L183:L185" si="150">IF(K183="AV","8",IF(AND(G183="",H183=""),"",IF(G183=H183,"P",IF(G183&lt;&gt;H183,"O"))))</f>
        <v/>
      </c>
      <c r="M183" s="465">
        <f>IF(K183="AV",MAX($M$12:M182)+1,0)</f>
        <v>0</v>
      </c>
      <c r="N183" s="458">
        <f>IF(K183="IT",MAX($N$12:N182)+1,0)</f>
        <v>0</v>
      </c>
      <c r="O183" s="458">
        <f>IF(K183="IT2",MAX($O$12:O182)+1,0)</f>
        <v>0</v>
      </c>
      <c r="P183" s="458">
        <f>IF(K183="ITP",MAX($P$12:P182)+1,0)</f>
        <v>0</v>
      </c>
      <c r="Q183" s="458">
        <f>IF(K183="C6",MAX($Q$12:Q182)+1,0)</f>
        <v>0</v>
      </c>
      <c r="R183" s="354"/>
      <c r="S183" s="348" t="str">
        <f t="shared" ref="S183:S185" si="151">IF(F183="Pago",B183,"")</f>
        <v/>
      </c>
      <c r="T183" s="312"/>
      <c r="U183" s="308"/>
      <c r="V183" s="308"/>
      <c r="W183" s="308"/>
      <c r="X183" s="308"/>
      <c r="Y183" s="308"/>
      <c r="Z183" s="308"/>
      <c r="AA183" s="308"/>
      <c r="AB183" s="308"/>
      <c r="AC183" s="308"/>
      <c r="AD183" s="497"/>
      <c r="AE183" s="312"/>
      <c r="AF183" s="197"/>
      <c r="AP183" s="5"/>
    </row>
    <row r="184" spans="2:42" ht="15" customHeight="1">
      <c r="B184" s="337"/>
      <c r="C184" s="191"/>
      <c r="D184" s="74"/>
      <c r="E184" s="58" t="str">
        <f t="shared" si="147"/>
        <v/>
      </c>
      <c r="F184" s="351"/>
      <c r="G184" s="343" t="str">
        <f t="shared" si="148"/>
        <v/>
      </c>
      <c r="H184" s="343" t="str">
        <f t="shared" si="149"/>
        <v/>
      </c>
      <c r="I184" s="343" t="str">
        <f t="shared" si="146"/>
        <v/>
      </c>
      <c r="J184" s="383"/>
      <c r="K184" s="351"/>
      <c r="L184" s="384" t="str">
        <f t="shared" si="150"/>
        <v/>
      </c>
      <c r="M184" s="465">
        <f>IF(K184="AV",MAX($M$12:M183)+1,0)</f>
        <v>0</v>
      </c>
      <c r="N184" s="458">
        <f>IF(K184="IT",MAX($N$12:N183)+1,0)</f>
        <v>0</v>
      </c>
      <c r="O184" s="458">
        <f>IF(K184="IT2",MAX($O$12:O183)+1,0)</f>
        <v>0</v>
      </c>
      <c r="P184" s="458">
        <f>IF(K184="ITP",MAX($P$12:P183)+1,0)</f>
        <v>0</v>
      </c>
      <c r="Q184" s="458">
        <f>IF(K184="C6",MAX($Q$12:Q183)+1,0)</f>
        <v>0</v>
      </c>
      <c r="R184" s="354"/>
      <c r="S184" s="348" t="str">
        <f t="shared" si="151"/>
        <v/>
      </c>
      <c r="T184" s="312"/>
      <c r="U184" s="312"/>
      <c r="V184" s="308"/>
      <c r="W184" s="308"/>
      <c r="X184" s="308"/>
      <c r="Y184" s="308"/>
      <c r="Z184" s="308"/>
      <c r="AA184" s="308"/>
      <c r="AB184" s="308"/>
      <c r="AC184" s="308"/>
      <c r="AD184" s="497"/>
      <c r="AE184" s="312"/>
      <c r="AF184" s="197"/>
      <c r="AP184" s="5"/>
    </row>
    <row r="185" spans="2:42" ht="15" customHeight="1">
      <c r="B185" s="337"/>
      <c r="C185" s="191"/>
      <c r="D185" s="74"/>
      <c r="E185" s="58" t="str">
        <f t="shared" si="147"/>
        <v/>
      </c>
      <c r="F185" s="351"/>
      <c r="G185" s="343" t="str">
        <f t="shared" si="148"/>
        <v/>
      </c>
      <c r="H185" s="343" t="str">
        <f t="shared" si="149"/>
        <v/>
      </c>
      <c r="I185" s="343" t="str">
        <f t="shared" si="146"/>
        <v/>
      </c>
      <c r="J185" s="383"/>
      <c r="K185" s="351"/>
      <c r="L185" s="384" t="str">
        <f t="shared" si="150"/>
        <v/>
      </c>
      <c r="M185" s="465">
        <f>IF(K185="AV",MAX($M$12:M184)+1,0)</f>
        <v>0</v>
      </c>
      <c r="N185" s="458">
        <f>IF(K185="IT",MAX($N$12:N184)+1,0)</f>
        <v>0</v>
      </c>
      <c r="O185" s="458">
        <f>IF(K185="IT2",MAX($O$12:O184)+1,0)</f>
        <v>0</v>
      </c>
      <c r="P185" s="458">
        <f>IF(K185="ITP",MAX($P$12:P184)+1,0)</f>
        <v>0</v>
      </c>
      <c r="Q185" s="458">
        <f>IF(K185="C6",MAX($Q$12:Q184)+1,0)</f>
        <v>0</v>
      </c>
      <c r="R185" s="354"/>
      <c r="S185" s="348" t="str">
        <f t="shared" si="151"/>
        <v/>
      </c>
      <c r="T185" s="308"/>
      <c r="U185" s="312"/>
      <c r="V185" s="308"/>
      <c r="W185" s="308"/>
      <c r="X185" s="308"/>
      <c r="Y185" s="308"/>
      <c r="Z185" s="308"/>
      <c r="AA185" s="308"/>
      <c r="AB185" s="308"/>
      <c r="AC185" s="308"/>
      <c r="AD185" s="497"/>
      <c r="AE185" s="308"/>
      <c r="AF185" s="197"/>
      <c r="AP185" s="5"/>
    </row>
    <row r="186" spans="2:42" ht="15" customHeight="1">
      <c r="B186" s="337"/>
      <c r="C186" s="191"/>
      <c r="D186" s="74"/>
      <c r="E186" s="58" t="str">
        <f>IF(OR(B186="",F186="Pago"),"",B186)</f>
        <v/>
      </c>
      <c r="F186" s="351"/>
      <c r="G186" s="343" t="str">
        <f t="shared" si="148"/>
        <v/>
      </c>
      <c r="H186" s="343" t="str">
        <f t="shared" si="149"/>
        <v/>
      </c>
      <c r="I186" s="343" t="str">
        <f t="shared" si="146"/>
        <v/>
      </c>
      <c r="J186" s="383"/>
      <c r="K186" s="351"/>
      <c r="L186" s="384" t="str">
        <f>IF(K186="AV","8",IF(AND(G186="",H186=""),"",IF(G186=H186,"P",IF(G186&lt;&gt;H186,"O"))))</f>
        <v/>
      </c>
      <c r="M186" s="465">
        <f>IF(K186="AV",MAX($M$12:M185)+1,0)</f>
        <v>0</v>
      </c>
      <c r="N186" s="458">
        <f>IF(K186="IT",MAX($N$12:N185)+1,0)</f>
        <v>0</v>
      </c>
      <c r="O186" s="458">
        <f>IF(K186="IT2",MAX($O$12:O185)+1,0)</f>
        <v>0</v>
      </c>
      <c r="P186" s="458">
        <f>IF(K186="ITP",MAX($P$12:P185)+1,0)</f>
        <v>0</v>
      </c>
      <c r="Q186" s="458">
        <f>IF(K186="C6",MAX($Q$12:Q185)+1,0)</f>
        <v>0</v>
      </c>
      <c r="R186" s="355"/>
      <c r="S186" s="348" t="str">
        <f>IF(F186="Pago",B186,"")</f>
        <v/>
      </c>
      <c r="T186" s="312"/>
      <c r="U186" s="312"/>
      <c r="V186" s="308"/>
      <c r="W186" s="308"/>
      <c r="X186" s="308"/>
      <c r="Y186" s="308"/>
      <c r="Z186" s="308"/>
      <c r="AA186" s="308"/>
      <c r="AB186" s="308"/>
      <c r="AC186" s="308"/>
      <c r="AD186" s="497"/>
      <c r="AE186" s="312"/>
      <c r="AF186" s="197"/>
      <c r="AP186" s="5"/>
    </row>
    <row r="187" spans="2:42" ht="15" customHeight="1">
      <c r="B187" s="338"/>
      <c r="C187" s="215"/>
      <c r="D187" s="76"/>
      <c r="E187" s="67" t="str">
        <f>IF(OR(B187="",F187="Pago"),"",B187)</f>
        <v/>
      </c>
      <c r="F187" s="356"/>
      <c r="G187" s="345" t="str">
        <f t="shared" si="148"/>
        <v/>
      </c>
      <c r="H187" s="345" t="str">
        <f t="shared" si="149"/>
        <v/>
      </c>
      <c r="I187" s="345" t="str">
        <f t="shared" si="146"/>
        <v/>
      </c>
      <c r="J187" s="357"/>
      <c r="K187" s="356"/>
      <c r="L187" s="359" t="str">
        <f>IF(K187="AV","8",IF(AND(G187="",H187=""),"",IF(G187=H187,"P",IF(G187&lt;&gt;H187,"O"))))</f>
        <v/>
      </c>
      <c r="M187" s="466">
        <f>IF(K187="AV",MAX($M$12:M186)+1,0)</f>
        <v>0</v>
      </c>
      <c r="N187" s="459">
        <f>IF(K187="IT",MAX($N$12:N186)+1,0)</f>
        <v>0</v>
      </c>
      <c r="O187" s="459">
        <f>IF(K187="IT2",MAX($O$12:O186)+1,0)</f>
        <v>0</v>
      </c>
      <c r="P187" s="459">
        <f>IF(K187="ITP",MAX($P$12:P186)+1,0)</f>
        <v>0</v>
      </c>
      <c r="Q187" s="459">
        <f>IF(K187="C6",MAX($Q$12:Q186)+1,0)</f>
        <v>0</v>
      </c>
      <c r="R187" s="360"/>
      <c r="S187" s="349" t="str">
        <f>IF(F187="Pago",B187,"")</f>
        <v/>
      </c>
      <c r="T187" s="308"/>
      <c r="U187" s="312"/>
      <c r="V187" s="308"/>
      <c r="W187" s="308"/>
      <c r="X187" s="308"/>
      <c r="Y187" s="308"/>
      <c r="Z187" s="308"/>
      <c r="AA187" s="308"/>
      <c r="AB187" s="308"/>
      <c r="AC187" s="308"/>
      <c r="AD187" s="497"/>
      <c r="AE187" s="308"/>
      <c r="AF187" s="197"/>
      <c r="AP187" s="5"/>
    </row>
    <row r="188" spans="2:42" ht="15" customHeight="1">
      <c r="B188" s="308"/>
      <c r="C188" s="308"/>
      <c r="D188" s="308"/>
      <c r="E188" s="308"/>
      <c r="F188" s="308"/>
      <c r="G188" s="308"/>
      <c r="H188" s="308"/>
      <c r="I188" s="308"/>
      <c r="J188" s="308"/>
      <c r="K188" s="308"/>
      <c r="L188" s="308"/>
      <c r="M188" s="308"/>
      <c r="N188" s="308"/>
      <c r="O188" s="308"/>
      <c r="P188" s="308"/>
      <c r="Q188" s="308"/>
      <c r="R188" s="308"/>
      <c r="S188" s="308"/>
      <c r="T188" s="312"/>
      <c r="U188" s="312"/>
      <c r="V188" s="308"/>
      <c r="W188" s="308"/>
      <c r="X188" s="308"/>
      <c r="Y188" s="308"/>
      <c r="Z188" s="308"/>
      <c r="AA188" s="308"/>
      <c r="AB188" s="308"/>
      <c r="AC188" s="308"/>
      <c r="AD188" s="497"/>
      <c r="AE188" s="308"/>
      <c r="AF188" s="197"/>
      <c r="AP188" s="5"/>
    </row>
    <row r="189" spans="2:42" ht="15" customHeight="1">
      <c r="B189" s="545" t="s">
        <v>124</v>
      </c>
      <c r="C189" s="546"/>
      <c r="D189" s="547"/>
      <c r="E189" s="551">
        <f>SUM(E191:E203)</f>
        <v>1637.9599999999998</v>
      </c>
      <c r="F189" s="552"/>
      <c r="G189" s="322"/>
      <c r="H189" s="220"/>
      <c r="I189" s="342" t="str">
        <f t="shared" si="123"/>
        <v/>
      </c>
      <c r="J189" s="555">
        <f>SUM(S191:S203)</f>
        <v>0</v>
      </c>
      <c r="K189" s="555"/>
      <c r="L189" s="556"/>
      <c r="M189" s="460"/>
      <c r="N189" s="456"/>
      <c r="O189" s="456"/>
      <c r="P189" s="456"/>
      <c r="Q189" s="461"/>
      <c r="R189" s="559">
        <f>SUM(E189,J189)</f>
        <v>1637.9599999999998</v>
      </c>
      <c r="S189" s="560"/>
      <c r="T189" s="516" t="s">
        <v>424</v>
      </c>
      <c r="U189" s="312"/>
      <c r="V189" s="308"/>
      <c r="W189" s="308"/>
      <c r="X189" s="308"/>
      <c r="Y189" s="308"/>
      <c r="Z189" s="308"/>
      <c r="AA189" s="308"/>
      <c r="AB189" s="308"/>
      <c r="AC189" s="308"/>
      <c r="AD189" s="497"/>
      <c r="AE189" s="308"/>
      <c r="AF189" s="197"/>
      <c r="AP189" s="5"/>
    </row>
    <row r="190" spans="2:42" ht="15" customHeight="1">
      <c r="B190" s="548"/>
      <c r="C190" s="549"/>
      <c r="D190" s="550"/>
      <c r="E190" s="553"/>
      <c r="F190" s="554"/>
      <c r="G190" s="323"/>
      <c r="H190" s="222"/>
      <c r="I190" s="346" t="str">
        <f t="shared" si="123"/>
        <v/>
      </c>
      <c r="J190" s="557"/>
      <c r="K190" s="557"/>
      <c r="L190" s="558"/>
      <c r="M190" s="462"/>
      <c r="N190" s="457"/>
      <c r="O190" s="457"/>
      <c r="P190" s="457"/>
      <c r="Q190" s="463"/>
      <c r="R190" s="561"/>
      <c r="S190" s="562"/>
      <c r="T190" s="517"/>
      <c r="U190" s="312"/>
      <c r="V190" s="308"/>
      <c r="W190" s="308"/>
      <c r="X190" s="308"/>
      <c r="Y190" s="308"/>
      <c r="Z190" s="308"/>
      <c r="AA190" s="308"/>
      <c r="AB190" s="308"/>
      <c r="AC190" s="308"/>
      <c r="AD190" s="497"/>
      <c r="AE190" s="308"/>
      <c r="AF190" s="197"/>
      <c r="AP190" s="5"/>
    </row>
    <row r="191" spans="2:42" ht="15" customHeight="1">
      <c r="B191" s="337">
        <v>142.85</v>
      </c>
      <c r="C191" s="191">
        <v>46198</v>
      </c>
      <c r="D191" s="184" t="s">
        <v>170</v>
      </c>
      <c r="E191" s="58">
        <f>IF(OR(B191="",F191="Pago"),"",B191)</f>
        <v>142.85</v>
      </c>
      <c r="F191" s="351" t="s">
        <v>135</v>
      </c>
      <c r="G191" s="343">
        <f t="shared" ref="G191:G197" si="152">IF(B191="","",B191+C191)</f>
        <v>46340.85</v>
      </c>
      <c r="H191" s="343">
        <f t="shared" ref="H191:H197" si="153">IFERROR(VLOOKUP(G191,$AG$5:$AG$174,1,0),"")</f>
        <v>46340.85</v>
      </c>
      <c r="I191" s="343" t="str">
        <f>IF(H191="","","JOÃO")</f>
        <v>JOÃO</v>
      </c>
      <c r="J191" s="383" t="s">
        <v>98</v>
      </c>
      <c r="K191" s="351" t="s">
        <v>90</v>
      </c>
      <c r="L191" s="384" t="str">
        <f>IF(K191="AV","8",IF(AND(G191="",H191=""),"",IF(G191=H191,"P",IF(G191&lt;&gt;H191,"O"))))</f>
        <v>P</v>
      </c>
      <c r="M191" s="465">
        <f>IF(K191="AV",MAX($M$12:M190)+1,0)</f>
        <v>0</v>
      </c>
      <c r="N191" s="458">
        <f>IF(K191="IT",MAX($N$12:N190)+1,0)</f>
        <v>30</v>
      </c>
      <c r="O191" s="458">
        <f>IF(K191="IT2",MAX($O$12:O190)+1,0)</f>
        <v>0</v>
      </c>
      <c r="P191" s="458">
        <f>IF(K191="ITP",MAX($P$12:P190)+1,0)</f>
        <v>0</v>
      </c>
      <c r="Q191" s="458">
        <f>IF(K191="C6",MAX($Q$12:Q190)+1,0)</f>
        <v>0</v>
      </c>
      <c r="R191" s="352" t="s">
        <v>364</v>
      </c>
      <c r="S191" s="348" t="str">
        <f>IF(F191="Pago",B191,"")</f>
        <v/>
      </c>
      <c r="T191" s="518">
        <v>250</v>
      </c>
      <c r="U191" s="312"/>
      <c r="V191" s="308"/>
      <c r="W191" s="308"/>
      <c r="X191" s="308"/>
      <c r="Y191" s="308"/>
      <c r="Z191" s="308"/>
      <c r="AA191" s="308"/>
      <c r="AB191" s="308"/>
      <c r="AC191" s="308"/>
      <c r="AD191" s="497"/>
      <c r="AE191" s="308"/>
      <c r="AF191" s="197"/>
      <c r="AP191" s="5"/>
    </row>
    <row r="192" spans="2:42" ht="15" customHeight="1">
      <c r="B192" s="337">
        <v>249.9</v>
      </c>
      <c r="C192" s="191">
        <v>46259</v>
      </c>
      <c r="D192" s="184" t="s">
        <v>216</v>
      </c>
      <c r="E192" s="58">
        <f t="shared" ref="E192:E203" si="154">IF(OR(B192="",F192="Pago"),"",B192)</f>
        <v>249.9</v>
      </c>
      <c r="F192" s="351" t="s">
        <v>135</v>
      </c>
      <c r="G192" s="343">
        <f t="shared" si="152"/>
        <v>46508.9</v>
      </c>
      <c r="H192" s="343">
        <f t="shared" si="153"/>
        <v>46508.9</v>
      </c>
      <c r="I192" s="343" t="str">
        <f t="shared" ref="I192:I203" si="155">IF(H192="","","JOÃO")</f>
        <v>JOÃO</v>
      </c>
      <c r="J192" s="383" t="s">
        <v>98</v>
      </c>
      <c r="K192" s="351" t="s">
        <v>90</v>
      </c>
      <c r="L192" s="384" t="str">
        <f t="shared" ref="L192:L203" si="156">IF(K192="AV","8",IF(AND(G192="",H192=""),"",IF(G192=H192,"P",IF(G192&lt;&gt;H192,"O"))))</f>
        <v>P</v>
      </c>
      <c r="M192" s="465">
        <f>IF(K192="AV",MAX($M$12:M191)+1,0)</f>
        <v>0</v>
      </c>
      <c r="N192" s="458">
        <f>IF(K192="IT",MAX($N$12:N191)+1,0)</f>
        <v>31</v>
      </c>
      <c r="O192" s="458">
        <f>IF(K192="IT2",MAX($O$12:O191)+1,0)</f>
        <v>0</v>
      </c>
      <c r="P192" s="458">
        <f>IF(K192="ITP",MAX($P$12:P191)+1,0)</f>
        <v>0</v>
      </c>
      <c r="Q192" s="458">
        <f>IF(K192="C6",MAX($Q$12:Q191)+1,0)</f>
        <v>0</v>
      </c>
      <c r="R192" s="352" t="s">
        <v>365</v>
      </c>
      <c r="S192" s="348" t="str">
        <f t="shared" ref="S192:S196" si="157">IF(F192="Pago",B192,"")</f>
        <v/>
      </c>
      <c r="T192" s="519"/>
      <c r="U192" s="312"/>
      <c r="V192" s="308"/>
      <c r="W192" s="308"/>
      <c r="X192" s="308"/>
      <c r="Y192" s="308"/>
      <c r="Z192" s="308"/>
      <c r="AA192" s="308"/>
      <c r="AB192" s="308"/>
      <c r="AC192" s="308"/>
      <c r="AD192" s="497"/>
      <c r="AE192" s="308"/>
      <c r="AF192" s="197"/>
    </row>
    <row r="193" spans="2:32" ht="15" customHeight="1">
      <c r="B193" s="337">
        <v>79.16</v>
      </c>
      <c r="C193" s="191">
        <v>46259</v>
      </c>
      <c r="D193" s="184" t="s">
        <v>217</v>
      </c>
      <c r="E193" s="58">
        <f t="shared" si="154"/>
        <v>79.16</v>
      </c>
      <c r="F193" s="351" t="s">
        <v>135</v>
      </c>
      <c r="G193" s="343">
        <f t="shared" si="152"/>
        <v>46338.16</v>
      </c>
      <c r="H193" s="343">
        <f t="shared" si="153"/>
        <v>46338.16</v>
      </c>
      <c r="I193" s="343" t="str">
        <f t="shared" si="155"/>
        <v>JOÃO</v>
      </c>
      <c r="J193" s="383" t="s">
        <v>98</v>
      </c>
      <c r="K193" s="351" t="s">
        <v>8</v>
      </c>
      <c r="L193" s="384" t="str">
        <f t="shared" si="156"/>
        <v>P</v>
      </c>
      <c r="M193" s="465">
        <f>IF(K193="AV",MAX($M$12:M192)+1,0)</f>
        <v>0</v>
      </c>
      <c r="N193" s="458">
        <f>IF(K193="IT",MAX($N$12:N192)+1,0)</f>
        <v>0</v>
      </c>
      <c r="O193" s="458">
        <f>IF(K193="IT2",MAX($O$12:O192)+1,0)</f>
        <v>0</v>
      </c>
      <c r="P193" s="458">
        <f>IF(K193="ITP",MAX($P$12:P192)+1,0)</f>
        <v>0</v>
      </c>
      <c r="Q193" s="458">
        <f>IF(K193="C6",MAX($Q$12:Q192)+1,0)</f>
        <v>5</v>
      </c>
      <c r="R193" s="352" t="s">
        <v>365</v>
      </c>
      <c r="S193" s="348" t="str">
        <f t="shared" si="157"/>
        <v/>
      </c>
      <c r="T193" s="516" t="s">
        <v>425</v>
      </c>
      <c r="U193" s="312"/>
      <c r="V193" s="308"/>
      <c r="W193" s="308"/>
      <c r="X193" s="308"/>
      <c r="Y193" s="308"/>
      <c r="Z193" s="308"/>
      <c r="AA193" s="308"/>
      <c r="AB193" s="308"/>
      <c r="AC193" s="308"/>
      <c r="AD193" s="497"/>
      <c r="AE193" s="308"/>
      <c r="AF193" s="197"/>
    </row>
    <row r="194" spans="2:32" ht="15" customHeight="1">
      <c r="B194" s="337">
        <v>141.16999999999999</v>
      </c>
      <c r="C194" s="191">
        <v>46259</v>
      </c>
      <c r="D194" s="184" t="s">
        <v>218</v>
      </c>
      <c r="E194" s="58">
        <f t="shared" si="154"/>
        <v>141.16999999999999</v>
      </c>
      <c r="F194" s="351" t="s">
        <v>135</v>
      </c>
      <c r="G194" s="343">
        <f t="shared" si="152"/>
        <v>46400.17</v>
      </c>
      <c r="H194" s="343">
        <f t="shared" si="153"/>
        <v>46400.17</v>
      </c>
      <c r="I194" s="343" t="str">
        <f t="shared" si="155"/>
        <v>JOÃO</v>
      </c>
      <c r="J194" s="383" t="s">
        <v>98</v>
      </c>
      <c r="K194" s="351" t="s">
        <v>8</v>
      </c>
      <c r="L194" s="384" t="str">
        <f t="shared" si="156"/>
        <v>P</v>
      </c>
      <c r="M194" s="465">
        <f>IF(K194="AV",MAX($M$12:M193)+1,0)</f>
        <v>0</v>
      </c>
      <c r="N194" s="458">
        <f>IF(K194="IT",MAX($N$12:N193)+1,0)</f>
        <v>0</v>
      </c>
      <c r="O194" s="458">
        <f>IF(K194="IT2",MAX($O$12:O193)+1,0)</f>
        <v>0</v>
      </c>
      <c r="P194" s="458">
        <f>IF(K194="ITP",MAX($P$12:P193)+1,0)</f>
        <v>0</v>
      </c>
      <c r="Q194" s="458">
        <f>IF(K194="C6",MAX($Q$12:Q193)+1,0)</f>
        <v>6</v>
      </c>
      <c r="R194" s="352" t="s">
        <v>365</v>
      </c>
      <c r="S194" s="348" t="str">
        <f t="shared" si="157"/>
        <v/>
      </c>
      <c r="T194" s="517"/>
      <c r="U194" s="312"/>
      <c r="V194" s="308"/>
      <c r="W194" s="308"/>
      <c r="X194" s="308"/>
      <c r="Y194" s="308"/>
      <c r="Z194" s="308"/>
      <c r="AA194" s="308"/>
      <c r="AB194" s="308"/>
      <c r="AC194" s="308"/>
      <c r="AD194" s="497"/>
      <c r="AE194" s="308"/>
      <c r="AF194" s="197"/>
    </row>
    <row r="195" spans="2:32" ht="15" customHeight="1">
      <c r="B195" s="337">
        <v>68.84</v>
      </c>
      <c r="C195" s="191">
        <v>46267</v>
      </c>
      <c r="D195" s="184" t="s">
        <v>230</v>
      </c>
      <c r="E195" s="58">
        <f t="shared" si="154"/>
        <v>68.84</v>
      </c>
      <c r="F195" s="351" t="s">
        <v>135</v>
      </c>
      <c r="G195" s="343">
        <f t="shared" si="152"/>
        <v>46335.839999999997</v>
      </c>
      <c r="H195" s="343">
        <f t="shared" si="153"/>
        <v>46335.839999999997</v>
      </c>
      <c r="I195" s="343" t="str">
        <f t="shared" si="155"/>
        <v>JOÃO</v>
      </c>
      <c r="J195" s="383" t="s">
        <v>98</v>
      </c>
      <c r="K195" s="351" t="s">
        <v>8</v>
      </c>
      <c r="L195" s="384" t="str">
        <f t="shared" si="156"/>
        <v>P</v>
      </c>
      <c r="M195" s="465">
        <f>IF(K195="AV",MAX($M$12:M194)+1,0)</f>
        <v>0</v>
      </c>
      <c r="N195" s="458">
        <f>IF(K195="IT",MAX($N$12:N194)+1,0)</f>
        <v>0</v>
      </c>
      <c r="O195" s="458">
        <f>IF(K195="IT2",MAX($O$12:O194)+1,0)</f>
        <v>0</v>
      </c>
      <c r="P195" s="458">
        <f>IF(K195="ITP",MAX($P$12:P194)+1,0)</f>
        <v>0</v>
      </c>
      <c r="Q195" s="458">
        <f>IF(K195="C6",MAX($Q$12:Q194)+1,0)</f>
        <v>7</v>
      </c>
      <c r="R195" s="352" t="s">
        <v>244</v>
      </c>
      <c r="S195" s="348" t="str">
        <f t="shared" si="157"/>
        <v/>
      </c>
      <c r="T195" s="520">
        <f>R189-T191</f>
        <v>1387.9599999999998</v>
      </c>
      <c r="U195" s="312"/>
      <c r="V195" s="308"/>
      <c r="W195" s="308"/>
      <c r="X195" s="308"/>
      <c r="Y195" s="308"/>
      <c r="Z195" s="308"/>
      <c r="AA195" s="308"/>
      <c r="AB195" s="308"/>
      <c r="AC195" s="308"/>
      <c r="AD195" s="497"/>
      <c r="AE195" s="308"/>
      <c r="AF195" s="197"/>
    </row>
    <row r="196" spans="2:32" ht="15" customHeight="1">
      <c r="B196" s="337">
        <v>699.78</v>
      </c>
      <c r="C196" s="191">
        <v>46282</v>
      </c>
      <c r="D196" s="74" t="s">
        <v>273</v>
      </c>
      <c r="E196" s="58">
        <f t="shared" si="154"/>
        <v>699.78</v>
      </c>
      <c r="F196" s="351" t="s">
        <v>135</v>
      </c>
      <c r="G196" s="343">
        <f t="shared" si="152"/>
        <v>46981.78</v>
      </c>
      <c r="H196" s="343">
        <f t="shared" si="153"/>
        <v>46981.78</v>
      </c>
      <c r="I196" s="343" t="str">
        <f t="shared" si="155"/>
        <v>JOÃO</v>
      </c>
      <c r="J196" s="383" t="s">
        <v>98</v>
      </c>
      <c r="K196" s="351" t="s">
        <v>8</v>
      </c>
      <c r="L196" s="384" t="str">
        <f t="shared" si="156"/>
        <v>P</v>
      </c>
      <c r="M196" s="465">
        <f>IF(K196="AV",MAX($M$12:M195)+1,0)</f>
        <v>0</v>
      </c>
      <c r="N196" s="458">
        <f>IF(K196="IT",MAX($N$12:N195)+1,0)</f>
        <v>0</v>
      </c>
      <c r="O196" s="458">
        <f>IF(K196="IT2",MAX($O$12:O195)+1,0)</f>
        <v>0</v>
      </c>
      <c r="P196" s="458">
        <f>IF(K196="ITP",MAX($P$12:P195)+1,0)</f>
        <v>0</v>
      </c>
      <c r="Q196" s="458">
        <f>IF(K196="C6",MAX($Q$12:Q195)+1,0)</f>
        <v>8</v>
      </c>
      <c r="R196" s="352" t="s">
        <v>239</v>
      </c>
      <c r="S196" s="348" t="str">
        <f t="shared" si="157"/>
        <v/>
      </c>
      <c r="T196" s="521"/>
      <c r="U196" s="312"/>
      <c r="V196" s="308"/>
      <c r="W196" s="308"/>
      <c r="X196" s="308"/>
      <c r="Y196" s="308"/>
      <c r="Z196" s="308"/>
      <c r="AA196" s="308"/>
      <c r="AB196" s="308"/>
      <c r="AC196" s="308"/>
      <c r="AD196" s="497"/>
      <c r="AE196" s="308"/>
      <c r="AF196" s="197"/>
    </row>
    <row r="197" spans="2:32" ht="15" customHeight="1">
      <c r="B197" s="337">
        <v>25.2</v>
      </c>
      <c r="C197" s="191">
        <v>46312</v>
      </c>
      <c r="D197" s="74" t="s">
        <v>404</v>
      </c>
      <c r="E197" s="58">
        <f t="shared" si="154"/>
        <v>25.2</v>
      </c>
      <c r="F197" s="351" t="s">
        <v>135</v>
      </c>
      <c r="G197" s="343">
        <f t="shared" si="152"/>
        <v>46337.2</v>
      </c>
      <c r="H197" s="343">
        <f t="shared" si="153"/>
        <v>46337.2</v>
      </c>
      <c r="I197" s="343" t="str">
        <f t="shared" si="155"/>
        <v>JOÃO</v>
      </c>
      <c r="J197" s="383" t="s">
        <v>98</v>
      </c>
      <c r="K197" s="351" t="s">
        <v>90</v>
      </c>
      <c r="L197" s="384" t="str">
        <f t="shared" si="156"/>
        <v>P</v>
      </c>
      <c r="M197" s="465">
        <f>IF(K197="AV",MAX($M$12:M196)+1,0)</f>
        <v>0</v>
      </c>
      <c r="N197" s="458">
        <f>IF(K197="IT",MAX($N$12:N196)+1,0)</f>
        <v>32</v>
      </c>
      <c r="O197" s="458">
        <f>IF(K197="IT2",MAX($O$12:O196)+1,0)</f>
        <v>0</v>
      </c>
      <c r="P197" s="458">
        <f>IF(K197="ITP",MAX($P$12:P196)+1,0)</f>
        <v>0</v>
      </c>
      <c r="Q197" s="458">
        <f>IF(K197="C6",MAX($Q$12:Q196)+1,0)</f>
        <v>0</v>
      </c>
      <c r="R197" s="352"/>
      <c r="S197" s="348" t="str">
        <f t="shared" ref="S197:S203" si="158">IF(F197="Pago",B197,"")</f>
        <v/>
      </c>
      <c r="T197" s="308"/>
      <c r="U197" s="312"/>
      <c r="V197" s="308"/>
      <c r="W197" s="308"/>
      <c r="X197" s="308"/>
      <c r="Y197" s="308"/>
      <c r="Z197" s="308"/>
      <c r="AA197" s="308"/>
      <c r="AB197" s="308"/>
      <c r="AC197" s="308"/>
      <c r="AD197" s="497"/>
      <c r="AE197" s="308"/>
      <c r="AF197" s="197"/>
    </row>
    <row r="198" spans="2:32" ht="15" customHeight="1">
      <c r="B198" s="337">
        <v>101</v>
      </c>
      <c r="C198" s="191">
        <v>46311</v>
      </c>
      <c r="D198" s="74" t="s">
        <v>423</v>
      </c>
      <c r="E198" s="58">
        <f t="shared" si="154"/>
        <v>101</v>
      </c>
      <c r="F198" s="351" t="s">
        <v>135</v>
      </c>
      <c r="G198" s="343">
        <f t="shared" ref="G198" si="159">IF(B198="","",B198+C198)</f>
        <v>46412</v>
      </c>
      <c r="H198" s="343">
        <f t="shared" ref="H198" si="160">IFERROR(VLOOKUP(G198,$AG$5:$AG$174,1,0),"")</f>
        <v>46412</v>
      </c>
      <c r="I198" s="343" t="str">
        <f t="shared" ref="I198" si="161">IF(H198="","","JOÃO")</f>
        <v>JOÃO</v>
      </c>
      <c r="J198" s="383" t="s">
        <v>98</v>
      </c>
      <c r="K198" s="351" t="s">
        <v>8</v>
      </c>
      <c r="L198" s="384" t="str">
        <f t="shared" si="156"/>
        <v>P</v>
      </c>
      <c r="M198" s="465">
        <f>IF(K198="AV",MAX($M$12:M197)+1,0)</f>
        <v>0</v>
      </c>
      <c r="N198" s="458">
        <f>IF(K198="IT",MAX($N$12:N197)+1,0)</f>
        <v>0</v>
      </c>
      <c r="O198" s="458">
        <f>IF(K198="IT2",MAX($O$12:O197)+1,0)</f>
        <v>0</v>
      </c>
      <c r="P198" s="458">
        <f>IF(K198="ITP",MAX($P$12:P197)+1,0)</f>
        <v>0</v>
      </c>
      <c r="Q198" s="458">
        <f>IF(K198="C6",MAX($Q$12:Q197)+1,0)</f>
        <v>9</v>
      </c>
      <c r="R198" s="352"/>
      <c r="S198" s="348" t="str">
        <f t="shared" si="158"/>
        <v/>
      </c>
      <c r="T198" s="308"/>
      <c r="U198" s="312"/>
      <c r="V198" s="308"/>
      <c r="W198" s="308"/>
      <c r="X198" s="308"/>
      <c r="Y198" s="308"/>
      <c r="Z198" s="308"/>
      <c r="AA198" s="308"/>
      <c r="AB198" s="308"/>
      <c r="AC198" s="308"/>
      <c r="AD198" s="497"/>
      <c r="AE198" s="308"/>
      <c r="AF198" s="197"/>
    </row>
    <row r="199" spans="2:32" ht="15" customHeight="1">
      <c r="B199" s="337">
        <v>113.06</v>
      </c>
      <c r="C199" s="191">
        <v>46313</v>
      </c>
      <c r="D199" s="74" t="s">
        <v>423</v>
      </c>
      <c r="E199" s="58">
        <f t="shared" si="154"/>
        <v>113.06</v>
      </c>
      <c r="F199" s="351" t="s">
        <v>135</v>
      </c>
      <c r="G199" s="343">
        <f t="shared" ref="G199:G200" si="162">IF(B199="","",B199+C199)</f>
        <v>46426.06</v>
      </c>
      <c r="H199" s="343">
        <f t="shared" ref="H199:H200" si="163">IFERROR(VLOOKUP(G199,$AG$5:$AG$174,1,0),"")</f>
        <v>46426.06</v>
      </c>
      <c r="I199" s="343" t="str">
        <f t="shared" ref="I199:I200" si="164">IF(H199="","","JOÃO")</f>
        <v>JOÃO</v>
      </c>
      <c r="J199" s="383" t="s">
        <v>98</v>
      </c>
      <c r="K199" s="351" t="s">
        <v>90</v>
      </c>
      <c r="L199" s="384" t="str">
        <f t="shared" si="156"/>
        <v>P</v>
      </c>
      <c r="M199" s="465">
        <f>IF(K199="AV",MAX($M$12:M198)+1,0)</f>
        <v>0</v>
      </c>
      <c r="N199" s="458">
        <f>IF(K199="IT",MAX($N$12:N198)+1,0)</f>
        <v>33</v>
      </c>
      <c r="O199" s="458">
        <f>IF(K199="IT2",MAX($O$12:O198)+1,0)</f>
        <v>0</v>
      </c>
      <c r="P199" s="458">
        <f>IF(K199="ITP",MAX($P$12:P198)+1,0)</f>
        <v>0</v>
      </c>
      <c r="Q199" s="458">
        <f>IF(K199="C6",MAX($Q$12:Q198)+1,0)</f>
        <v>0</v>
      </c>
      <c r="R199" s="352"/>
      <c r="S199" s="348" t="str">
        <f t="shared" si="158"/>
        <v/>
      </c>
      <c r="T199" s="308"/>
      <c r="U199" s="308"/>
      <c r="V199" s="308"/>
      <c r="W199" s="308"/>
      <c r="X199" s="308"/>
      <c r="Y199" s="308"/>
      <c r="Z199" s="308"/>
      <c r="AA199" s="308"/>
      <c r="AB199" s="308"/>
      <c r="AC199" s="308"/>
      <c r="AD199" s="497"/>
      <c r="AE199" s="308"/>
      <c r="AF199" s="197"/>
    </row>
    <row r="200" spans="2:32" ht="15" customHeight="1">
      <c r="B200" s="337">
        <v>17</v>
      </c>
      <c r="C200" s="191">
        <v>46312</v>
      </c>
      <c r="D200" s="74" t="s">
        <v>404</v>
      </c>
      <c r="E200" s="58">
        <f t="shared" ref="E200" si="165">IF(OR(B200="",F200="Pago"),"",B200)</f>
        <v>17</v>
      </c>
      <c r="F200" s="351" t="s">
        <v>135</v>
      </c>
      <c r="G200" s="343">
        <f t="shared" si="162"/>
        <v>46329</v>
      </c>
      <c r="H200" s="343">
        <f t="shared" si="163"/>
        <v>46329</v>
      </c>
      <c r="I200" s="343" t="str">
        <f t="shared" si="164"/>
        <v>JOÃO</v>
      </c>
      <c r="J200" s="383" t="s">
        <v>98</v>
      </c>
      <c r="K200" s="351" t="s">
        <v>90</v>
      </c>
      <c r="L200" s="384" t="str">
        <f t="shared" ref="L200" si="166">IF(K200="AV","8",IF(AND(G200="",H200=""),"",IF(G200=H200,"P",IF(G200&lt;&gt;H200,"O"))))</f>
        <v>P</v>
      </c>
      <c r="M200" s="465">
        <f>IF(K200="AV",MAX($M$12:M199)+1,0)</f>
        <v>0</v>
      </c>
      <c r="N200" s="458">
        <f>IF(K200="IT",MAX($N$12:N199)+1,0)</f>
        <v>34</v>
      </c>
      <c r="O200" s="458">
        <f>IF(K200="IT2",MAX($O$12:O199)+1,0)</f>
        <v>0</v>
      </c>
      <c r="P200" s="458">
        <f>IF(K200="ITP",MAX($P$12:P199)+1,0)</f>
        <v>0</v>
      </c>
      <c r="Q200" s="458">
        <f>IF(K200="C6",MAX($Q$12:Q199)+1,0)</f>
        <v>0</v>
      </c>
      <c r="R200" s="352"/>
      <c r="S200" s="348" t="str">
        <f t="shared" ref="S200" si="167">IF(F200="Pago",B200,"")</f>
        <v/>
      </c>
      <c r="T200" s="308"/>
      <c r="U200" s="308"/>
      <c r="V200" s="308"/>
      <c r="W200" s="308"/>
      <c r="X200" s="308"/>
      <c r="Y200" s="308"/>
      <c r="Z200" s="308"/>
      <c r="AA200" s="308"/>
      <c r="AB200" s="308"/>
      <c r="AC200" s="308"/>
      <c r="AD200" s="497"/>
      <c r="AE200" s="308"/>
      <c r="AF200" s="197"/>
    </row>
    <row r="201" spans="2:32" ht="15" customHeight="1">
      <c r="B201" s="337"/>
      <c r="C201" s="191"/>
      <c r="D201" s="74"/>
      <c r="E201" s="58" t="str">
        <f t="shared" si="154"/>
        <v/>
      </c>
      <c r="F201" s="351"/>
      <c r="G201" s="343"/>
      <c r="H201" s="343"/>
      <c r="I201" s="343" t="str">
        <f t="shared" si="155"/>
        <v/>
      </c>
      <c r="J201" s="383"/>
      <c r="K201" s="351"/>
      <c r="L201" s="384" t="str">
        <f t="shared" si="156"/>
        <v/>
      </c>
      <c r="M201" s="465">
        <f>IF(K201="AV",MAX($M$12:M200)+1,0)</f>
        <v>0</v>
      </c>
      <c r="N201" s="458">
        <f>IF(K201="IT",MAX($N$12:N200)+1,0)</f>
        <v>0</v>
      </c>
      <c r="O201" s="458">
        <f>IF(K201="IT2",MAX($O$12:O200)+1,0)</f>
        <v>0</v>
      </c>
      <c r="P201" s="458">
        <f>IF(K201="ITP",MAX($P$12:P200)+1,0)</f>
        <v>0</v>
      </c>
      <c r="Q201" s="458">
        <f>IF(K201="C6",MAX($Q$12:Q200)+1,0)</f>
        <v>0</v>
      </c>
      <c r="R201" s="352"/>
      <c r="S201" s="348" t="str">
        <f t="shared" si="158"/>
        <v/>
      </c>
      <c r="T201" s="308"/>
      <c r="U201" s="308"/>
      <c r="V201" s="308"/>
      <c r="W201" s="308"/>
      <c r="X201" s="308"/>
      <c r="Y201" s="308"/>
      <c r="Z201" s="308"/>
      <c r="AA201" s="308"/>
      <c r="AB201" s="308"/>
      <c r="AC201" s="308"/>
      <c r="AD201" s="497"/>
      <c r="AE201" s="308"/>
      <c r="AF201" s="197"/>
    </row>
    <row r="202" spans="2:32" ht="15" customHeight="1">
      <c r="B202" s="337"/>
      <c r="C202" s="191"/>
      <c r="D202" s="74"/>
      <c r="E202" s="58" t="str">
        <f t="shared" si="154"/>
        <v/>
      </c>
      <c r="F202" s="351"/>
      <c r="G202" s="343"/>
      <c r="H202" s="343"/>
      <c r="I202" s="343" t="str">
        <f t="shared" si="155"/>
        <v/>
      </c>
      <c r="J202" s="383"/>
      <c r="K202" s="351"/>
      <c r="L202" s="384" t="str">
        <f t="shared" si="156"/>
        <v/>
      </c>
      <c r="M202" s="465">
        <f>IF(K202="AV",MAX($M$12:M201)+1,0)</f>
        <v>0</v>
      </c>
      <c r="N202" s="458">
        <f>IF(K202="IT",MAX($N$12:N201)+1,0)</f>
        <v>0</v>
      </c>
      <c r="O202" s="458">
        <f>IF(K202="IT2",MAX($O$12:O201)+1,0)</f>
        <v>0</v>
      </c>
      <c r="P202" s="458">
        <f>IF(K202="ITP",MAX($P$12:P201)+1,0)</f>
        <v>0</v>
      </c>
      <c r="Q202" s="458">
        <f>IF(K202="C6",MAX($Q$12:Q201)+1,0)</f>
        <v>0</v>
      </c>
      <c r="R202" s="352"/>
      <c r="S202" s="348" t="str">
        <f t="shared" si="158"/>
        <v/>
      </c>
      <c r="T202" s="308"/>
      <c r="U202" s="308"/>
      <c r="V202" s="308"/>
      <c r="W202" s="308"/>
      <c r="X202" s="308"/>
      <c r="Y202" s="308"/>
      <c r="Z202" s="308"/>
      <c r="AA202" s="308"/>
      <c r="AB202" s="308"/>
      <c r="AC202" s="308"/>
      <c r="AD202" s="497"/>
      <c r="AE202" s="308"/>
      <c r="AF202" s="197"/>
    </row>
    <row r="203" spans="2:32" ht="15" customHeight="1">
      <c r="B203" s="338"/>
      <c r="C203" s="215"/>
      <c r="D203" s="76"/>
      <c r="E203" s="67" t="str">
        <f t="shared" si="154"/>
        <v/>
      </c>
      <c r="F203" s="356"/>
      <c r="G203" s="345"/>
      <c r="H203" s="345"/>
      <c r="I203" s="345" t="str">
        <f t="shared" si="155"/>
        <v/>
      </c>
      <c r="J203" s="358"/>
      <c r="K203" s="356"/>
      <c r="L203" s="359" t="str">
        <f t="shared" si="156"/>
        <v/>
      </c>
      <c r="M203" s="466">
        <f>IF(K203="AV",MAX($M$12:M202)+1,0)</f>
        <v>0</v>
      </c>
      <c r="N203" s="459">
        <f>IF(K203="IT",MAX($N$12:N202)+1,0)</f>
        <v>0</v>
      </c>
      <c r="O203" s="459">
        <f>IF(K203="IT2",MAX($O$12:O202)+1,0)</f>
        <v>0</v>
      </c>
      <c r="P203" s="459">
        <f>IF(K203="ITP",MAX($P$12:P202)+1,0)</f>
        <v>0</v>
      </c>
      <c r="Q203" s="459">
        <f>IF(K203="C6",MAX($Q$12:Q202)+1,0)</f>
        <v>0</v>
      </c>
      <c r="R203" s="363"/>
      <c r="S203" s="349" t="str">
        <f t="shared" si="158"/>
        <v/>
      </c>
      <c r="T203" s="308"/>
      <c r="U203" s="308"/>
      <c r="V203" s="308"/>
      <c r="W203" s="308"/>
      <c r="X203" s="308"/>
      <c r="Y203" s="308"/>
      <c r="Z203" s="308"/>
      <c r="AA203" s="308"/>
      <c r="AB203" s="308"/>
      <c r="AC203" s="308"/>
      <c r="AD203" s="497"/>
      <c r="AE203" s="308"/>
      <c r="AF203" s="197"/>
    </row>
    <row r="204" spans="2:32" ht="15" customHeight="1">
      <c r="B204" s="308"/>
      <c r="C204" s="308"/>
      <c r="D204" s="308"/>
      <c r="E204" s="308"/>
      <c r="F204" s="308"/>
      <c r="G204" s="308"/>
      <c r="H204" s="308"/>
      <c r="I204" s="308"/>
      <c r="J204" s="308"/>
      <c r="K204" s="308"/>
      <c r="L204" s="308"/>
      <c r="M204" s="308"/>
      <c r="N204" s="308"/>
      <c r="O204" s="308"/>
      <c r="P204" s="308"/>
      <c r="Q204" s="308"/>
      <c r="R204" s="308"/>
      <c r="S204" s="308"/>
      <c r="T204" s="308"/>
      <c r="U204" s="308"/>
      <c r="V204" s="308"/>
      <c r="W204" s="308"/>
      <c r="X204" s="308"/>
      <c r="Y204" s="308"/>
      <c r="Z204" s="308"/>
      <c r="AA204" s="308"/>
      <c r="AB204" s="308"/>
      <c r="AC204" s="308"/>
      <c r="AD204" s="497"/>
      <c r="AE204" s="308"/>
      <c r="AF204" s="197"/>
    </row>
    <row r="205" spans="2:32" ht="15" customHeight="1">
      <c r="B205" s="545" t="s">
        <v>125</v>
      </c>
      <c r="C205" s="546"/>
      <c r="D205" s="547"/>
      <c r="E205" s="551">
        <f>SUM(E207:E215)</f>
        <v>682.79</v>
      </c>
      <c r="F205" s="552"/>
      <c r="G205" s="322"/>
      <c r="H205" s="220"/>
      <c r="I205" s="342" t="str">
        <f t="shared" ref="I205:I218" si="168">IF(H205="","","FIXO")</f>
        <v/>
      </c>
      <c r="J205" s="555">
        <f>SUM(S207:S215)</f>
        <v>0</v>
      </c>
      <c r="K205" s="555"/>
      <c r="L205" s="556"/>
      <c r="M205" s="460"/>
      <c r="N205" s="456"/>
      <c r="O205" s="456"/>
      <c r="P205" s="456"/>
      <c r="Q205" s="461"/>
      <c r="R205" s="559">
        <f>SUM(E205,J205)</f>
        <v>682.79</v>
      </c>
      <c r="S205" s="560"/>
      <c r="T205" s="516" t="s">
        <v>424</v>
      </c>
      <c r="U205" s="308"/>
      <c r="V205" s="516" t="s">
        <v>427</v>
      </c>
      <c r="W205" s="308"/>
      <c r="X205" s="308"/>
      <c r="Y205" s="308"/>
      <c r="Z205" s="308"/>
      <c r="AA205" s="308"/>
      <c r="AB205" s="308"/>
      <c r="AC205" s="308"/>
      <c r="AD205" s="497"/>
      <c r="AE205" s="308"/>
      <c r="AF205" s="197"/>
    </row>
    <row r="206" spans="2:32" ht="15" customHeight="1">
      <c r="B206" s="548"/>
      <c r="C206" s="549"/>
      <c r="D206" s="550"/>
      <c r="E206" s="553"/>
      <c r="F206" s="554"/>
      <c r="G206" s="323"/>
      <c r="H206" s="222"/>
      <c r="I206" s="346" t="str">
        <f t="shared" si="168"/>
        <v/>
      </c>
      <c r="J206" s="557"/>
      <c r="K206" s="557"/>
      <c r="L206" s="558"/>
      <c r="M206" s="462"/>
      <c r="N206" s="457"/>
      <c r="O206" s="457"/>
      <c r="P206" s="457"/>
      <c r="Q206" s="463"/>
      <c r="R206" s="561"/>
      <c r="S206" s="562"/>
      <c r="T206" s="517"/>
      <c r="U206" s="308"/>
      <c r="V206" s="517"/>
      <c r="W206" s="308"/>
      <c r="X206" s="308"/>
      <c r="Y206" s="308"/>
      <c r="Z206" s="308"/>
      <c r="AA206" s="308"/>
      <c r="AB206" s="308"/>
      <c r="AD206" s="497"/>
      <c r="AE206" s="308"/>
      <c r="AF206" s="197"/>
    </row>
    <row r="207" spans="2:32" ht="15" customHeight="1">
      <c r="B207" s="337">
        <v>89.64</v>
      </c>
      <c r="C207" s="191">
        <v>46257</v>
      </c>
      <c r="D207" s="185" t="s">
        <v>220</v>
      </c>
      <c r="E207" s="58">
        <f>IF(OR(B207="",F207="Pago"),"",B207)</f>
        <v>89.64</v>
      </c>
      <c r="F207" s="351" t="s">
        <v>135</v>
      </c>
      <c r="G207" s="343">
        <f t="shared" ref="G207:G215" si="169">IF(B207="","",B207+C207)</f>
        <v>46346.64</v>
      </c>
      <c r="H207" s="343" t="str">
        <f t="shared" ref="H207:H215" si="170">IFERROR(VLOOKUP(G207,$AG$5:$AG$174,1,0),"")</f>
        <v/>
      </c>
      <c r="I207" s="343" t="str">
        <f t="shared" ref="I207:I215" si="171">IF(H207="","","FLAVIA")</f>
        <v/>
      </c>
      <c r="J207" s="383" t="s">
        <v>89</v>
      </c>
      <c r="K207" s="385" t="s">
        <v>90</v>
      </c>
      <c r="L207" s="384" t="str">
        <f t="shared" ref="L207:L212" si="172">IF(K207="AV","8",IF(AND(G207="",H207=""),"",IF(G207=H207,"P",IF(G207&lt;&gt;H207,"O"))))</f>
        <v>O</v>
      </c>
      <c r="M207" s="465">
        <f>IF(K207="AV",MAX($M$12:M206)+1,0)</f>
        <v>0</v>
      </c>
      <c r="N207" s="458">
        <f>IF(K207="IT",MAX($N$12:N206)+1,0)</f>
        <v>35</v>
      </c>
      <c r="O207" s="458">
        <f>IF(K207="IT2",MAX($O$12:O206)+1,0)</f>
        <v>0</v>
      </c>
      <c r="P207" s="458">
        <f>IF(K207="ITP",MAX($P$12:P206)+1,0)</f>
        <v>0</v>
      </c>
      <c r="Q207" s="458">
        <f>IF(K207="C6",MAX($Q$12:Q206)+1,0)</f>
        <v>0</v>
      </c>
      <c r="R207" s="355" t="s">
        <v>366</v>
      </c>
      <c r="S207" s="347" t="str">
        <f>IF(F207="Pago",B207,"")</f>
        <v/>
      </c>
      <c r="T207" s="518">
        <v>550</v>
      </c>
      <c r="U207" s="308"/>
      <c r="V207" s="525">
        <v>90</v>
      </c>
      <c r="W207" s="308"/>
      <c r="X207" s="308"/>
      <c r="Y207" s="308"/>
      <c r="Z207" s="308"/>
      <c r="AA207" s="308"/>
      <c r="AB207" s="308"/>
      <c r="AD207" s="497"/>
      <c r="AE207" s="308"/>
      <c r="AF207" s="197"/>
    </row>
    <row r="208" spans="2:32" ht="15" customHeight="1">
      <c r="B208" s="337">
        <v>593.15</v>
      </c>
      <c r="C208" s="191">
        <v>46276</v>
      </c>
      <c r="D208" s="74" t="s">
        <v>278</v>
      </c>
      <c r="E208" s="58">
        <f t="shared" ref="E208:E212" si="173">IF(OR(B208="",F208="Pago"),"",B208)</f>
        <v>593.15</v>
      </c>
      <c r="F208" s="351" t="s">
        <v>135</v>
      </c>
      <c r="G208" s="343">
        <f t="shared" si="169"/>
        <v>46869.15</v>
      </c>
      <c r="H208" s="343">
        <f t="shared" si="170"/>
        <v>46869.15</v>
      </c>
      <c r="I208" s="343" t="str">
        <f t="shared" si="171"/>
        <v>FLAVIA</v>
      </c>
      <c r="J208" s="383" t="s">
        <v>89</v>
      </c>
      <c r="K208" s="351" t="s">
        <v>90</v>
      </c>
      <c r="L208" s="384" t="str">
        <f t="shared" si="172"/>
        <v>P</v>
      </c>
      <c r="M208" s="465">
        <f>IF(K208="AV",MAX($M$12:M207)+1,0)</f>
        <v>0</v>
      </c>
      <c r="N208" s="458">
        <f>IF(K208="IT",MAX($N$12:N207)+1,0)</f>
        <v>36</v>
      </c>
      <c r="O208" s="458">
        <f>IF(K208="IT2",MAX($O$12:O207)+1,0)</f>
        <v>0</v>
      </c>
      <c r="P208" s="458">
        <f>IF(K208="ITP",MAX($P$12:P207)+1,0)</f>
        <v>0</v>
      </c>
      <c r="Q208" s="458">
        <f>IF(K208="C6",MAX($Q$12:Q207)+1,0)</f>
        <v>0</v>
      </c>
      <c r="R208" s="353" t="s">
        <v>243</v>
      </c>
      <c r="S208" s="348" t="str">
        <f t="shared" ref="S208:S212" si="174">IF(F208="Pago",B208,"")</f>
        <v/>
      </c>
      <c r="T208" s="519"/>
      <c r="U208" s="308"/>
      <c r="V208" s="524"/>
      <c r="W208" s="308"/>
      <c r="X208" s="308"/>
      <c r="Y208" s="308"/>
      <c r="Z208" s="308"/>
      <c r="AA208" s="308"/>
      <c r="AB208" s="308"/>
      <c r="AD208" s="497"/>
      <c r="AE208" s="312"/>
      <c r="AF208" s="197"/>
    </row>
    <row r="209" spans="2:32" ht="15" customHeight="1">
      <c r="B209" s="337"/>
      <c r="C209" s="191"/>
      <c r="D209" s="74"/>
      <c r="E209" s="58" t="str">
        <f t="shared" ref="E209:E211" si="175">IF(OR(B209="",F209="Pago"),"",B209)</f>
        <v/>
      </c>
      <c r="F209" s="351"/>
      <c r="G209" s="343" t="str">
        <f t="shared" ref="G209:G211" si="176">IF(B209="","",B209+C209)</f>
        <v/>
      </c>
      <c r="H209" s="343" t="str">
        <f t="shared" ref="H209:H211" si="177">IFERROR(VLOOKUP(G209,$AG$5:$AG$174,1,0),"")</f>
        <v/>
      </c>
      <c r="I209" s="343" t="str">
        <f t="shared" si="171"/>
        <v/>
      </c>
      <c r="J209" s="383"/>
      <c r="K209" s="351"/>
      <c r="L209" s="384" t="str">
        <f t="shared" ref="L209:L211" si="178">IF(K209="AV","8",IF(AND(G209="",H209=""),"",IF(G209=H209,"P",IF(G209&lt;&gt;H209,"O"))))</f>
        <v/>
      </c>
      <c r="M209" s="465">
        <f>IF(K209="AV",MAX($M$12:M208)+1,0)</f>
        <v>0</v>
      </c>
      <c r="N209" s="458">
        <f>IF(K209="IT",MAX($N$12:N208)+1,0)</f>
        <v>0</v>
      </c>
      <c r="O209" s="458">
        <f>IF(K209="IT2",MAX($O$12:O208)+1,0)</f>
        <v>0</v>
      </c>
      <c r="P209" s="458">
        <f>IF(K209="ITP",MAX($P$12:P208)+1,0)</f>
        <v>0</v>
      </c>
      <c r="Q209" s="458">
        <f>IF(K209="C6",MAX($Q$12:Q208)+1,0)</f>
        <v>0</v>
      </c>
      <c r="R209" s="354"/>
      <c r="S209" s="348" t="str">
        <f t="shared" ref="S209:S211" si="179">IF(F209="Pago",B209,"")</f>
        <v/>
      </c>
      <c r="T209" s="516" t="s">
        <v>16</v>
      </c>
      <c r="U209" s="308"/>
      <c r="V209" s="516" t="s">
        <v>426</v>
      </c>
      <c r="W209" s="308"/>
      <c r="X209" s="308"/>
      <c r="Y209" s="308"/>
      <c r="Z209" s="308"/>
      <c r="AA209" s="308"/>
      <c r="AB209" s="308"/>
      <c r="AD209" s="497"/>
      <c r="AE209" s="308"/>
      <c r="AF209" s="197"/>
    </row>
    <row r="210" spans="2:32" ht="15" customHeight="1">
      <c r="B210" s="337"/>
      <c r="C210" s="191"/>
      <c r="D210" s="74"/>
      <c r="E210" s="58" t="str">
        <f t="shared" si="175"/>
        <v/>
      </c>
      <c r="F210" s="351"/>
      <c r="G210" s="343" t="str">
        <f t="shared" si="176"/>
        <v/>
      </c>
      <c r="H210" s="343" t="str">
        <f t="shared" si="177"/>
        <v/>
      </c>
      <c r="I210" s="343" t="str">
        <f t="shared" si="171"/>
        <v/>
      </c>
      <c r="J210" s="383"/>
      <c r="K210" s="351"/>
      <c r="L210" s="384" t="str">
        <f t="shared" si="178"/>
        <v/>
      </c>
      <c r="M210" s="465">
        <f>IF(K210="AV",MAX($M$12:M209)+1,0)</f>
        <v>0</v>
      </c>
      <c r="N210" s="458">
        <f>IF(K210="IT",MAX($N$12:N209)+1,0)</f>
        <v>0</v>
      </c>
      <c r="O210" s="458">
        <f>IF(K210="IT2",MAX($O$12:O209)+1,0)</f>
        <v>0</v>
      </c>
      <c r="P210" s="458">
        <f>IF(K210="ITP",MAX($P$12:P209)+1,0)</f>
        <v>0</v>
      </c>
      <c r="Q210" s="458">
        <f>IF(K210="C6",MAX($Q$12:Q209)+1,0)</f>
        <v>0</v>
      </c>
      <c r="R210" s="354"/>
      <c r="S210" s="348" t="str">
        <f t="shared" si="179"/>
        <v/>
      </c>
      <c r="T210" s="522"/>
      <c r="U210" s="308"/>
      <c r="V210" s="517"/>
      <c r="W210" s="308"/>
      <c r="X210" s="308"/>
      <c r="Y210" s="308"/>
      <c r="Z210" s="308"/>
      <c r="AA210" s="308"/>
      <c r="AB210" s="308"/>
      <c r="AC210" s="308"/>
      <c r="AD210" s="497"/>
      <c r="AE210" s="308"/>
      <c r="AF210" s="197"/>
    </row>
    <row r="211" spans="2:32" ht="15" customHeight="1">
      <c r="B211" s="337"/>
      <c r="C211" s="191"/>
      <c r="D211" s="74"/>
      <c r="E211" s="58" t="str">
        <f t="shared" si="175"/>
        <v/>
      </c>
      <c r="F211" s="351"/>
      <c r="G211" s="343" t="str">
        <f t="shared" si="176"/>
        <v/>
      </c>
      <c r="H211" s="343" t="str">
        <f t="shared" si="177"/>
        <v/>
      </c>
      <c r="I211" s="343" t="str">
        <f t="shared" si="171"/>
        <v/>
      </c>
      <c r="J211" s="383"/>
      <c r="K211" s="351"/>
      <c r="L211" s="384" t="str">
        <f t="shared" si="178"/>
        <v/>
      </c>
      <c r="M211" s="465">
        <f>IF(K211="AV",MAX($M$12:M210)+1,0)</f>
        <v>0</v>
      </c>
      <c r="N211" s="458">
        <f>IF(K211="IT",MAX($N$12:N210)+1,0)</f>
        <v>0</v>
      </c>
      <c r="O211" s="458">
        <f>IF(K211="IT2",MAX($O$12:O210)+1,0)</f>
        <v>0</v>
      </c>
      <c r="P211" s="458">
        <f>IF(K211="ITP",MAX($P$12:P210)+1,0)</f>
        <v>0</v>
      </c>
      <c r="Q211" s="458">
        <f>IF(K211="C6",MAX($Q$12:Q210)+1,0)</f>
        <v>0</v>
      </c>
      <c r="R211" s="354"/>
      <c r="S211" s="348" t="str">
        <f t="shared" si="179"/>
        <v/>
      </c>
      <c r="T211" s="523">
        <f>SUM(B29,B31,B32,B33)</f>
        <v>76.699999999999989</v>
      </c>
      <c r="U211" s="308"/>
      <c r="V211" s="520">
        <f>R205-T207-V207-T211</f>
        <v>-33.910000000000025</v>
      </c>
      <c r="W211" s="308"/>
      <c r="X211" s="308"/>
      <c r="Y211" s="308"/>
      <c r="Z211" s="308"/>
      <c r="AA211" s="308"/>
      <c r="AB211" s="308"/>
      <c r="AC211" s="308"/>
      <c r="AD211" s="497"/>
      <c r="AE211" s="308"/>
      <c r="AF211" s="197"/>
    </row>
    <row r="212" spans="2:32" ht="15" customHeight="1">
      <c r="B212" s="337"/>
      <c r="C212" s="191"/>
      <c r="D212" s="74"/>
      <c r="E212" s="58" t="str">
        <f t="shared" si="173"/>
        <v/>
      </c>
      <c r="F212" s="351"/>
      <c r="G212" s="343" t="str">
        <f t="shared" si="169"/>
        <v/>
      </c>
      <c r="H212" s="343" t="str">
        <f t="shared" si="170"/>
        <v/>
      </c>
      <c r="I212" s="343" t="str">
        <f t="shared" si="171"/>
        <v/>
      </c>
      <c r="J212" s="383"/>
      <c r="K212" s="351"/>
      <c r="L212" s="384" t="str">
        <f t="shared" si="172"/>
        <v/>
      </c>
      <c r="M212" s="465">
        <f>IF(K212="AV",MAX($M$12:M211)+1,0)</f>
        <v>0</v>
      </c>
      <c r="N212" s="458">
        <f>IF(K212="IT",MAX($N$12:N211)+1,0)</f>
        <v>0</v>
      </c>
      <c r="O212" s="458">
        <f>IF(K212="IT2",MAX($O$12:O211)+1,0)</f>
        <v>0</v>
      </c>
      <c r="P212" s="458">
        <f>IF(K212="ITP",MAX($P$12:P211)+1,0)</f>
        <v>0</v>
      </c>
      <c r="Q212" s="458">
        <f>IF(K212="C6",MAX($Q$12:Q211)+1,0)</f>
        <v>0</v>
      </c>
      <c r="R212" s="354"/>
      <c r="S212" s="348" t="str">
        <f t="shared" si="174"/>
        <v/>
      </c>
      <c r="T212" s="524"/>
      <c r="U212" s="308"/>
      <c r="V212" s="521"/>
      <c r="W212" s="308"/>
      <c r="X212" s="308"/>
      <c r="Y212" s="308"/>
      <c r="Z212" s="308"/>
      <c r="AA212" s="308"/>
      <c r="AB212" s="308"/>
      <c r="AC212" s="308"/>
      <c r="AD212" s="497"/>
      <c r="AE212" s="308"/>
      <c r="AF212" s="197"/>
    </row>
    <row r="213" spans="2:32" ht="15" customHeight="1">
      <c r="B213" s="337"/>
      <c r="C213" s="191"/>
      <c r="D213" s="74"/>
      <c r="E213" s="58" t="str">
        <f>IF(OR(B213="",F213="Pago"),"",B213)</f>
        <v/>
      </c>
      <c r="F213" s="351"/>
      <c r="G213" s="343" t="str">
        <f t="shared" si="169"/>
        <v/>
      </c>
      <c r="H213" s="343" t="str">
        <f t="shared" si="170"/>
        <v/>
      </c>
      <c r="I213" s="343" t="str">
        <f t="shared" si="171"/>
        <v/>
      </c>
      <c r="J213" s="383"/>
      <c r="K213" s="351"/>
      <c r="L213" s="384" t="str">
        <f>IF(K213="AV","8",IF(AND(G213="",H213=""),"",IF(G213=H213,"P",IF(G213&lt;&gt;H213,"O"))))</f>
        <v/>
      </c>
      <c r="M213" s="465">
        <f>IF(K213="AV",MAX($M$12:M212)+1,0)</f>
        <v>0</v>
      </c>
      <c r="N213" s="458">
        <f>IF(K213="IT",MAX($N$12:N212)+1,0)</f>
        <v>0</v>
      </c>
      <c r="O213" s="458">
        <f>IF(K213="IT2",MAX($O$12:O212)+1,0)</f>
        <v>0</v>
      </c>
      <c r="P213" s="458">
        <f>IF(K213="ITP",MAX($P$12:P212)+1,0)</f>
        <v>0</v>
      </c>
      <c r="Q213" s="458">
        <f>IF(K213="C6",MAX($Q$12:Q212)+1,0)</f>
        <v>0</v>
      </c>
      <c r="R213" s="354"/>
      <c r="S213" s="348" t="str">
        <f>IF(F213="Pago",B213,"")</f>
        <v/>
      </c>
      <c r="T213" s="308"/>
      <c r="U213" s="308"/>
      <c r="V213" s="308"/>
      <c r="W213" s="308"/>
      <c r="X213" s="308"/>
      <c r="Y213" s="308"/>
      <c r="Z213" s="308"/>
      <c r="AA213" s="308"/>
      <c r="AB213" s="308"/>
      <c r="AC213" s="308"/>
      <c r="AD213" s="497"/>
      <c r="AE213" s="308"/>
      <c r="AF213" s="197"/>
    </row>
    <row r="214" spans="2:32" ht="15" customHeight="1">
      <c r="B214" s="337"/>
      <c r="C214" s="191"/>
      <c r="D214" s="74"/>
      <c r="E214" s="58" t="str">
        <f>IF(OR(B214="",F214="Pago"),"",B214)</f>
        <v/>
      </c>
      <c r="F214" s="351"/>
      <c r="G214" s="343" t="str">
        <f t="shared" si="169"/>
        <v/>
      </c>
      <c r="H214" s="343" t="str">
        <f t="shared" si="170"/>
        <v/>
      </c>
      <c r="I214" s="343" t="str">
        <f t="shared" si="171"/>
        <v/>
      </c>
      <c r="J214" s="383"/>
      <c r="K214" s="351"/>
      <c r="L214" s="384" t="str">
        <f>IF(K214="AV","8",IF(AND(G214="",H214=""),"",IF(G214=H214,"P",IF(G214&lt;&gt;H214,"O"))))</f>
        <v/>
      </c>
      <c r="M214" s="465">
        <f>IF(K214="AV",MAX($M$12:M213)+1,0)</f>
        <v>0</v>
      </c>
      <c r="N214" s="458">
        <f>IF(K214="IT",MAX($N$12:N213)+1,0)</f>
        <v>0</v>
      </c>
      <c r="O214" s="458">
        <f>IF(K214="IT2",MAX($O$12:O213)+1,0)</f>
        <v>0</v>
      </c>
      <c r="P214" s="458">
        <f>IF(K214="ITP",MAX($P$12:P213)+1,0)</f>
        <v>0</v>
      </c>
      <c r="Q214" s="458">
        <f>IF(K214="C6",MAX($Q$12:Q213)+1,0)</f>
        <v>0</v>
      </c>
      <c r="R214" s="355"/>
      <c r="S214" s="348" t="str">
        <f>IF(F214="Pago",B214,"")</f>
        <v/>
      </c>
      <c r="T214" s="308"/>
      <c r="U214" s="308"/>
      <c r="V214" s="308"/>
      <c r="W214" s="308"/>
      <c r="X214" s="308"/>
      <c r="Y214" s="308"/>
      <c r="Z214" s="308"/>
      <c r="AA214" s="308"/>
      <c r="AB214" s="308"/>
      <c r="AC214" s="308"/>
      <c r="AD214" s="497"/>
      <c r="AE214" s="308"/>
      <c r="AF214" s="197"/>
    </row>
    <row r="215" spans="2:32" ht="15" customHeight="1">
      <c r="B215" s="338"/>
      <c r="C215" s="215"/>
      <c r="D215" s="76"/>
      <c r="E215" s="67" t="str">
        <f>IF(OR(B215="",F215="Pago"),"",B215)</f>
        <v/>
      </c>
      <c r="F215" s="356"/>
      <c r="G215" s="345" t="str">
        <f t="shared" si="169"/>
        <v/>
      </c>
      <c r="H215" s="345" t="str">
        <f t="shared" si="170"/>
        <v/>
      </c>
      <c r="I215" s="345" t="str">
        <f t="shared" si="171"/>
        <v/>
      </c>
      <c r="J215" s="357"/>
      <c r="K215" s="356"/>
      <c r="L215" s="359" t="str">
        <f>IF(K215="AV","8",IF(AND(G215="",H215=""),"",IF(G215=H215,"P",IF(G215&lt;&gt;H215,"O"))))</f>
        <v/>
      </c>
      <c r="M215" s="466">
        <f>IF(K215="AV",MAX($M$12:M214)+1,0)</f>
        <v>0</v>
      </c>
      <c r="N215" s="459">
        <f>IF(K215="IT",MAX($N$12:N214)+1,0)</f>
        <v>0</v>
      </c>
      <c r="O215" s="459">
        <f>IF(K215="IT2",MAX($O$12:O214)+1,0)</f>
        <v>0</v>
      </c>
      <c r="P215" s="459">
        <f>IF(K215="ITP",MAX($P$12:P214)+1,0)</f>
        <v>0</v>
      </c>
      <c r="Q215" s="459">
        <f>IF(K215="C6",MAX($Q$12:Q214)+1,0)</f>
        <v>0</v>
      </c>
      <c r="R215" s="360"/>
      <c r="S215" s="349" t="str">
        <f>IF(F215="Pago",B215,"")</f>
        <v/>
      </c>
      <c r="T215" s="308"/>
      <c r="U215" s="308"/>
      <c r="V215" s="308"/>
      <c r="W215" s="496"/>
      <c r="X215" s="308"/>
      <c r="Y215" s="308"/>
      <c r="Z215" s="308"/>
      <c r="AA215" s="308"/>
      <c r="AB215" s="308"/>
      <c r="AC215" s="308"/>
      <c r="AD215" s="497"/>
      <c r="AE215" s="308"/>
      <c r="AF215" s="197"/>
    </row>
    <row r="216" spans="2:32" ht="15" customHeight="1">
      <c r="B216" s="308"/>
      <c r="C216" s="308"/>
      <c r="D216" s="308"/>
      <c r="E216" s="308"/>
      <c r="F216" s="308"/>
      <c r="G216" s="308"/>
      <c r="H216" s="308"/>
      <c r="I216" s="308"/>
      <c r="J216" s="308"/>
      <c r="K216" s="308"/>
      <c r="L216" s="308"/>
      <c r="M216" s="308"/>
      <c r="N216" s="308"/>
      <c r="O216" s="308"/>
      <c r="P216" s="308"/>
      <c r="Q216" s="308"/>
      <c r="R216" s="308"/>
      <c r="S216" s="308"/>
      <c r="T216" s="308"/>
      <c r="U216" s="308"/>
      <c r="V216" s="308"/>
      <c r="W216" s="308"/>
      <c r="X216" s="308"/>
      <c r="Y216" s="308"/>
      <c r="Z216" s="308"/>
      <c r="AA216" s="308"/>
      <c r="AB216" s="308"/>
      <c r="AC216" s="308"/>
      <c r="AD216" s="497"/>
      <c r="AE216" s="308"/>
      <c r="AF216" s="197"/>
    </row>
    <row r="217" spans="2:32" ht="15" customHeight="1">
      <c r="B217" s="545" t="s">
        <v>122</v>
      </c>
      <c r="C217" s="546"/>
      <c r="D217" s="547"/>
      <c r="E217" s="551">
        <f>SUM(E219:E239)</f>
        <v>2035.3</v>
      </c>
      <c r="F217" s="552"/>
      <c r="G217" s="322"/>
      <c r="H217" s="220"/>
      <c r="I217" s="342" t="str">
        <f t="shared" si="168"/>
        <v/>
      </c>
      <c r="J217" s="555">
        <f>SUM(S219:S239)</f>
        <v>0</v>
      </c>
      <c r="K217" s="555"/>
      <c r="L217" s="556"/>
      <c r="M217" s="460"/>
      <c r="N217" s="456"/>
      <c r="O217" s="456"/>
      <c r="P217" s="456"/>
      <c r="Q217" s="461"/>
      <c r="R217" s="559">
        <f>SUM(E217,J217)</f>
        <v>2035.3</v>
      </c>
      <c r="S217" s="560"/>
      <c r="T217" s="312"/>
      <c r="U217" s="308"/>
      <c r="V217" s="308"/>
      <c r="W217" s="308"/>
      <c r="X217" s="308"/>
      <c r="Y217" s="308"/>
      <c r="Z217" s="308"/>
      <c r="AA217" s="308"/>
      <c r="AB217" s="308"/>
      <c r="AC217" s="308"/>
      <c r="AD217" s="497"/>
      <c r="AE217" s="312"/>
      <c r="AF217" s="197"/>
    </row>
    <row r="218" spans="2:32" ht="15" customHeight="1">
      <c r="B218" s="548"/>
      <c r="C218" s="549"/>
      <c r="D218" s="550"/>
      <c r="E218" s="553"/>
      <c r="F218" s="554"/>
      <c r="G218" s="323"/>
      <c r="H218" s="222"/>
      <c r="I218" s="346" t="str">
        <f t="shared" si="168"/>
        <v/>
      </c>
      <c r="J218" s="557"/>
      <c r="K218" s="557"/>
      <c r="L218" s="558"/>
      <c r="M218" s="462"/>
      <c r="N218" s="457"/>
      <c r="O218" s="457"/>
      <c r="P218" s="457"/>
      <c r="Q218" s="463"/>
      <c r="R218" s="561"/>
      <c r="S218" s="562"/>
      <c r="T218" s="312"/>
      <c r="U218" s="308"/>
      <c r="V218" s="308"/>
      <c r="W218" s="308"/>
      <c r="X218" s="308"/>
      <c r="Y218" s="308"/>
      <c r="Z218" s="308"/>
      <c r="AA218" s="308"/>
      <c r="AB218" s="308"/>
      <c r="AC218" s="308"/>
      <c r="AD218" s="497"/>
      <c r="AE218" s="312"/>
      <c r="AF218" s="197"/>
    </row>
    <row r="219" spans="2:32" ht="15" customHeight="1">
      <c r="B219" s="337">
        <v>89.9</v>
      </c>
      <c r="C219" s="191">
        <v>46272</v>
      </c>
      <c r="D219" s="189" t="s">
        <v>146</v>
      </c>
      <c r="E219" s="58">
        <f>IF(OR(B219="",F219="Pago"),"",B219)</f>
        <v>89.9</v>
      </c>
      <c r="F219" s="351" t="s">
        <v>135</v>
      </c>
      <c r="G219" s="343">
        <f t="shared" ref="G219:G239" si="180">IF(B219="","",B219+C219)</f>
        <v>46361.9</v>
      </c>
      <c r="H219" s="343" t="str">
        <f t="shared" ref="H219:H239" si="181">IFERROR(VLOOKUP(G219,$AG$5:$AG$174,1,0),"")</f>
        <v/>
      </c>
      <c r="I219" s="343" t="str">
        <f>IF(H219="","","GUTO")</f>
        <v/>
      </c>
      <c r="J219" s="383" t="s">
        <v>89</v>
      </c>
      <c r="K219" s="385" t="s">
        <v>118</v>
      </c>
      <c r="L219" s="384" t="str">
        <f t="shared" ref="L219:L238" si="182">IF(K219="AV","8",IF(AND(G219="",H219=""),"",IF(G219=H219,"P",IF(G219&lt;&gt;H219,"O"))))</f>
        <v>8</v>
      </c>
      <c r="M219" s="465">
        <f>IF(K219="AV",MAX($M$12:M218)+1,0)</f>
        <v>15</v>
      </c>
      <c r="N219" s="458">
        <f>IF(K219="IT",MAX($N$12:N218)+1,0)</f>
        <v>0</v>
      </c>
      <c r="O219" s="458">
        <f>IF(K219="IT2",MAX($O$12:O218)+1,0)</f>
        <v>0</v>
      </c>
      <c r="P219" s="458">
        <f>IF(K219="ITP",MAX($P$12:P218)+1,0)</f>
        <v>0</v>
      </c>
      <c r="Q219" s="458">
        <f>IF(K219="C6",MAX($Q$12:Q218)+1,0)</f>
        <v>0</v>
      </c>
      <c r="R219" s="350" t="s">
        <v>367</v>
      </c>
      <c r="S219" s="347" t="str">
        <f>IF(F219="Pago",B219,"")</f>
        <v/>
      </c>
      <c r="T219" s="308"/>
      <c r="U219" s="312"/>
      <c r="V219" s="308"/>
      <c r="W219" s="308"/>
      <c r="X219" s="308"/>
      <c r="Y219" s="308"/>
      <c r="Z219" s="308"/>
      <c r="AA219" s="308"/>
      <c r="AB219" s="308"/>
      <c r="AC219" s="308"/>
      <c r="AD219" s="497"/>
      <c r="AE219" s="308"/>
      <c r="AF219" s="197"/>
    </row>
    <row r="220" spans="2:32" ht="15" customHeight="1">
      <c r="B220" s="337">
        <v>85.98</v>
      </c>
      <c r="C220" s="191">
        <v>46260</v>
      </c>
      <c r="D220" s="190" t="s">
        <v>282</v>
      </c>
      <c r="E220" s="58">
        <f t="shared" ref="E220:E238" si="183">IF(OR(B220="",F220="Pago"),"",B220)</f>
        <v>85.98</v>
      </c>
      <c r="F220" s="351" t="s">
        <v>135</v>
      </c>
      <c r="G220" s="343">
        <f t="shared" si="180"/>
        <v>46345.98</v>
      </c>
      <c r="H220" s="343">
        <f t="shared" si="181"/>
        <v>46345.98</v>
      </c>
      <c r="I220" s="343" t="str">
        <f t="shared" ref="I220:I239" si="184">IF(H220="","","GUTO")</f>
        <v>GUTO</v>
      </c>
      <c r="J220" s="383" t="s">
        <v>94</v>
      </c>
      <c r="K220" s="351" t="s">
        <v>8</v>
      </c>
      <c r="L220" s="384" t="str">
        <f t="shared" si="182"/>
        <v>P</v>
      </c>
      <c r="M220" s="465">
        <f>IF(K220="AV",MAX($M$12:M219)+1,0)</f>
        <v>0</v>
      </c>
      <c r="N220" s="458">
        <f>IF(K220="IT",MAX($N$12:N219)+1,0)</f>
        <v>0</v>
      </c>
      <c r="O220" s="458">
        <f>IF(K220="IT2",MAX($O$12:O219)+1,0)</f>
        <v>0</v>
      </c>
      <c r="P220" s="458">
        <f>IF(K220="ITP",MAX($P$12:P219)+1,0)</f>
        <v>0</v>
      </c>
      <c r="Q220" s="458">
        <f>IF(K220="C6",MAX($Q$12:Q219)+1,0)</f>
        <v>10</v>
      </c>
      <c r="R220" s="352" t="s">
        <v>368</v>
      </c>
      <c r="S220" s="348" t="str">
        <f t="shared" ref="S220:S238" si="185">IF(F220="Pago",B220,"")</f>
        <v/>
      </c>
      <c r="T220" s="308"/>
      <c r="U220" s="312"/>
      <c r="V220" s="308"/>
      <c r="W220" s="308"/>
      <c r="X220" s="308"/>
      <c r="Y220" s="308"/>
      <c r="Z220" s="308"/>
      <c r="AA220" s="308"/>
      <c r="AB220" s="308"/>
      <c r="AC220" s="308"/>
      <c r="AD220" s="497"/>
      <c r="AE220" s="308"/>
      <c r="AF220" s="197"/>
    </row>
    <row r="221" spans="2:32" ht="15" customHeight="1">
      <c r="B221" s="337">
        <v>352</v>
      </c>
      <c r="C221" s="191">
        <v>46118</v>
      </c>
      <c r="D221" s="184" t="s">
        <v>113</v>
      </c>
      <c r="E221" s="58">
        <f t="shared" si="183"/>
        <v>352</v>
      </c>
      <c r="F221" s="351" t="s">
        <v>135</v>
      </c>
      <c r="G221" s="343">
        <f t="shared" si="180"/>
        <v>46470</v>
      </c>
      <c r="H221" s="343">
        <f t="shared" si="181"/>
        <v>46470</v>
      </c>
      <c r="I221" s="343" t="str">
        <f t="shared" si="184"/>
        <v>GUTO</v>
      </c>
      <c r="J221" s="383" t="s">
        <v>94</v>
      </c>
      <c r="K221" s="351" t="s">
        <v>95</v>
      </c>
      <c r="L221" s="384" t="str">
        <f t="shared" si="182"/>
        <v>P</v>
      </c>
      <c r="M221" s="465">
        <f>IF(K221="AV",MAX($M$12:M220)+1,0)</f>
        <v>0</v>
      </c>
      <c r="N221" s="458">
        <f>IF(K221="IT",MAX($N$12:N220)+1,0)</f>
        <v>0</v>
      </c>
      <c r="O221" s="458">
        <f>IF(K221="IT2",MAX($O$12:O220)+1,0)</f>
        <v>1</v>
      </c>
      <c r="P221" s="458">
        <f>IF(K221="ITP",MAX($P$12:P220)+1,0)</f>
        <v>0</v>
      </c>
      <c r="Q221" s="458">
        <f>IF(K221="C6",MAX($Q$12:Q220)+1,0)</f>
        <v>0</v>
      </c>
      <c r="R221" s="352" t="s">
        <v>369</v>
      </c>
      <c r="S221" s="348" t="str">
        <f t="shared" si="185"/>
        <v/>
      </c>
      <c r="T221" s="308"/>
      <c r="U221" s="308"/>
      <c r="V221" s="308"/>
      <c r="W221" s="308"/>
      <c r="X221" s="308"/>
      <c r="Y221" s="308"/>
      <c r="Z221" s="308"/>
      <c r="AA221" s="308"/>
      <c r="AB221" s="308"/>
      <c r="AC221" s="308"/>
      <c r="AD221" s="497"/>
      <c r="AE221" s="308"/>
      <c r="AF221" s="197"/>
    </row>
    <row r="222" spans="2:32" ht="15" customHeight="1">
      <c r="B222" s="337">
        <v>190</v>
      </c>
      <c r="C222" s="191">
        <v>46190</v>
      </c>
      <c r="D222" s="184" t="s">
        <v>150</v>
      </c>
      <c r="E222" s="58">
        <f t="shared" ref="E222:E234" si="186">IF(OR(B222="",F222="Pago"),"",B222)</f>
        <v>190</v>
      </c>
      <c r="F222" s="351" t="s">
        <v>135</v>
      </c>
      <c r="G222" s="343">
        <f t="shared" ref="G222:G234" si="187">IF(B222="","",B222+C222)</f>
        <v>46380</v>
      </c>
      <c r="H222" s="343">
        <f t="shared" ref="H222:H234" si="188">IFERROR(VLOOKUP(G222,$AG$5:$AG$174,1,0),"")</f>
        <v>46380</v>
      </c>
      <c r="I222" s="343" t="str">
        <f t="shared" si="184"/>
        <v>GUTO</v>
      </c>
      <c r="J222" s="383" t="s">
        <v>94</v>
      </c>
      <c r="K222" s="351" t="s">
        <v>90</v>
      </c>
      <c r="L222" s="384" t="str">
        <f t="shared" ref="L222:L234" si="189">IF(K222="AV","8",IF(AND(G222="",H222=""),"",IF(G222=H222,"P",IF(G222&lt;&gt;H222,"O"))))</f>
        <v>P</v>
      </c>
      <c r="M222" s="465">
        <f>IF(K222="AV",MAX($M$12:M221)+1,0)</f>
        <v>0</v>
      </c>
      <c r="N222" s="458">
        <f>IF(K222="IT",MAX($N$12:N221)+1,0)</f>
        <v>37</v>
      </c>
      <c r="O222" s="458">
        <f>IF(K222="IT2",MAX($O$12:O221)+1,0)</f>
        <v>0</v>
      </c>
      <c r="P222" s="458">
        <f>IF(K222="ITP",MAX($P$12:P221)+1,0)</f>
        <v>0</v>
      </c>
      <c r="Q222" s="458">
        <f>IF(K222="C6",MAX($Q$12:Q221)+1,0)</f>
        <v>0</v>
      </c>
      <c r="R222" s="352" t="s">
        <v>370</v>
      </c>
      <c r="S222" s="348" t="str">
        <f t="shared" si="185"/>
        <v/>
      </c>
      <c r="T222" s="308"/>
      <c r="U222" s="308"/>
      <c r="V222" s="308"/>
      <c r="W222" s="308"/>
      <c r="X222" s="308"/>
      <c r="Y222" s="308"/>
      <c r="Z222" s="308"/>
      <c r="AA222" s="308"/>
      <c r="AB222" s="308"/>
      <c r="AC222" s="308"/>
      <c r="AD222" s="497"/>
      <c r="AE222" s="308"/>
      <c r="AF222" s="197"/>
    </row>
    <row r="223" spans="2:32" ht="15" customHeight="1">
      <c r="B223" s="337">
        <v>75.58</v>
      </c>
      <c r="C223" s="191">
        <v>46251</v>
      </c>
      <c r="D223" s="184" t="s">
        <v>191</v>
      </c>
      <c r="E223" s="58">
        <f t="shared" si="186"/>
        <v>75.58</v>
      </c>
      <c r="F223" s="351" t="s">
        <v>135</v>
      </c>
      <c r="G223" s="343">
        <f t="shared" si="187"/>
        <v>46326.58</v>
      </c>
      <c r="H223" s="343">
        <f t="shared" si="188"/>
        <v>46326.58</v>
      </c>
      <c r="I223" s="343" t="str">
        <f t="shared" si="184"/>
        <v>GUTO</v>
      </c>
      <c r="J223" s="383" t="s">
        <v>94</v>
      </c>
      <c r="K223" s="351" t="s">
        <v>90</v>
      </c>
      <c r="L223" s="384" t="str">
        <f t="shared" si="189"/>
        <v>P</v>
      </c>
      <c r="M223" s="465">
        <f>IF(K223="AV",MAX($M$12:M222)+1,0)</f>
        <v>0</v>
      </c>
      <c r="N223" s="458">
        <f>IF(K223="IT",MAX($N$12:N222)+1,0)</f>
        <v>38</v>
      </c>
      <c r="O223" s="458">
        <f>IF(K223="IT2",MAX($O$12:O222)+1,0)</f>
        <v>0</v>
      </c>
      <c r="P223" s="458">
        <f>IF(K223="ITP",MAX($P$12:P222)+1,0)</f>
        <v>0</v>
      </c>
      <c r="Q223" s="458">
        <f>IF(K223="C6",MAX($Q$12:Q222)+1,0)</f>
        <v>0</v>
      </c>
      <c r="R223" s="353" t="s">
        <v>244</v>
      </c>
      <c r="S223" s="348" t="str">
        <f t="shared" si="185"/>
        <v/>
      </c>
      <c r="T223" s="308"/>
      <c r="U223" s="308"/>
      <c r="V223" s="308"/>
      <c r="W223" s="308"/>
      <c r="X223" s="308"/>
      <c r="Y223" s="308"/>
      <c r="Z223" s="308"/>
      <c r="AA223" s="308"/>
      <c r="AB223" s="308"/>
      <c r="AC223" s="308"/>
      <c r="AD223" s="497"/>
      <c r="AE223" s="308"/>
      <c r="AF223" s="197"/>
    </row>
    <row r="224" spans="2:32" ht="15" customHeight="1">
      <c r="B224" s="337">
        <v>84.35</v>
      </c>
      <c r="C224" s="191">
        <v>46267</v>
      </c>
      <c r="D224" s="74" t="s">
        <v>226</v>
      </c>
      <c r="E224" s="58">
        <f t="shared" si="186"/>
        <v>84.35</v>
      </c>
      <c r="F224" s="351" t="s">
        <v>135</v>
      </c>
      <c r="G224" s="343">
        <f t="shared" si="187"/>
        <v>46351.35</v>
      </c>
      <c r="H224" s="343">
        <f t="shared" si="188"/>
        <v>46351.35</v>
      </c>
      <c r="I224" s="343" t="str">
        <f t="shared" si="184"/>
        <v>GUTO</v>
      </c>
      <c r="J224" s="383" t="s">
        <v>98</v>
      </c>
      <c r="K224" s="351" t="s">
        <v>90</v>
      </c>
      <c r="L224" s="384" t="str">
        <f t="shared" si="189"/>
        <v>P</v>
      </c>
      <c r="M224" s="465">
        <f>IF(K224="AV",MAX($M$12:M223)+1,0)</f>
        <v>0</v>
      </c>
      <c r="N224" s="458">
        <f>IF(K224="IT",MAX($N$12:N223)+1,0)</f>
        <v>39</v>
      </c>
      <c r="O224" s="458">
        <f>IF(K224="IT2",MAX($O$12:O223)+1,0)</f>
        <v>0</v>
      </c>
      <c r="P224" s="458">
        <f>IF(K224="ITP",MAX($P$12:P223)+1,0)</f>
        <v>0</v>
      </c>
      <c r="Q224" s="458">
        <f>IF(K224="C6",MAX($Q$12:Q223)+1,0)</f>
        <v>0</v>
      </c>
      <c r="R224" s="352" t="s">
        <v>368</v>
      </c>
      <c r="S224" s="348" t="str">
        <f t="shared" si="185"/>
        <v/>
      </c>
      <c r="T224" s="308"/>
      <c r="U224" s="308"/>
      <c r="V224" s="308"/>
      <c r="W224" s="308"/>
      <c r="X224" s="308"/>
      <c r="Y224" s="308"/>
      <c r="Z224" s="308"/>
      <c r="AA224" s="308"/>
      <c r="AB224" s="308"/>
      <c r="AC224" s="308"/>
      <c r="AD224" s="497"/>
      <c r="AE224" s="308"/>
      <c r="AF224" s="197"/>
    </row>
    <row r="225" spans="2:32" ht="15" customHeight="1">
      <c r="B225" s="337">
        <v>125</v>
      </c>
      <c r="C225" s="191">
        <v>46296</v>
      </c>
      <c r="D225" s="74" t="s">
        <v>332</v>
      </c>
      <c r="E225" s="58">
        <f t="shared" si="186"/>
        <v>125</v>
      </c>
      <c r="F225" s="351" t="s">
        <v>135</v>
      </c>
      <c r="G225" s="343">
        <f t="shared" si="187"/>
        <v>46421</v>
      </c>
      <c r="H225" s="343">
        <f t="shared" si="188"/>
        <v>46421</v>
      </c>
      <c r="I225" s="343" t="str">
        <f t="shared" si="184"/>
        <v>GUTO</v>
      </c>
      <c r="J225" s="383" t="s">
        <v>94</v>
      </c>
      <c r="K225" s="351" t="s">
        <v>90</v>
      </c>
      <c r="L225" s="384" t="str">
        <f t="shared" si="189"/>
        <v>P</v>
      </c>
      <c r="M225" s="465">
        <f>IF(K225="AV",MAX($M$12:M224)+1,0)</f>
        <v>0</v>
      </c>
      <c r="N225" s="458">
        <f>IF(K225="IT",MAX($N$12:N224)+1,0)</f>
        <v>40</v>
      </c>
      <c r="O225" s="458">
        <f>IF(K225="IT2",MAX($O$12:O224)+1,0)</f>
        <v>0</v>
      </c>
      <c r="P225" s="458">
        <f>IF(K225="ITP",MAX($P$12:P224)+1,0)</f>
        <v>0</v>
      </c>
      <c r="Q225" s="458">
        <f>IF(K225="C6",MAX($Q$12:Q224)+1,0)</f>
        <v>0</v>
      </c>
      <c r="R225" s="354" t="s">
        <v>239</v>
      </c>
      <c r="S225" s="348" t="str">
        <f t="shared" si="185"/>
        <v/>
      </c>
      <c r="T225" s="308"/>
      <c r="U225" s="308"/>
      <c r="V225" s="308"/>
      <c r="W225" s="308"/>
      <c r="X225" s="308"/>
      <c r="Y225" s="308"/>
      <c r="Z225" s="308"/>
      <c r="AA225" s="308"/>
      <c r="AB225" s="308"/>
      <c r="AC225" s="308"/>
      <c r="AD225" s="497"/>
      <c r="AE225" s="308"/>
      <c r="AF225" s="197"/>
    </row>
    <row r="226" spans="2:32" ht="15" customHeight="1">
      <c r="B226" s="337">
        <v>150</v>
      </c>
      <c r="C226" s="191">
        <v>46302</v>
      </c>
      <c r="D226" s="428" t="s">
        <v>372</v>
      </c>
      <c r="E226" s="58">
        <f t="shared" si="186"/>
        <v>150</v>
      </c>
      <c r="F226" s="351" t="s">
        <v>135</v>
      </c>
      <c r="G226" s="343">
        <f t="shared" si="187"/>
        <v>46452</v>
      </c>
      <c r="H226" s="343" t="str">
        <f t="shared" si="188"/>
        <v/>
      </c>
      <c r="I226" s="343" t="str">
        <f t="shared" si="184"/>
        <v/>
      </c>
      <c r="J226" s="383" t="s">
        <v>94</v>
      </c>
      <c r="K226" s="351" t="s">
        <v>118</v>
      </c>
      <c r="L226" s="384" t="str">
        <f t="shared" si="189"/>
        <v>8</v>
      </c>
      <c r="M226" s="465">
        <f>IF(K226="AV",MAX($M$12:M225)+1,0)</f>
        <v>16</v>
      </c>
      <c r="N226" s="458">
        <f>IF(K226="IT",MAX($N$12:N225)+1,0)</f>
        <v>0</v>
      </c>
      <c r="O226" s="458">
        <f>IF(K226="IT2",MAX($O$12:O225)+1,0)</f>
        <v>0</v>
      </c>
      <c r="P226" s="458">
        <f>IF(K226="ITP",MAX($P$12:P225)+1,0)</f>
        <v>0</v>
      </c>
      <c r="Q226" s="458">
        <f>IF(K226="C6",MAX($Q$12:Q225)+1,0)</f>
        <v>0</v>
      </c>
      <c r="R226" s="354" t="s">
        <v>242</v>
      </c>
      <c r="S226" s="348" t="str">
        <f t="shared" ref="S226:S234" si="190">IF(F226="Pago",B226,"")</f>
        <v/>
      </c>
      <c r="T226" s="308"/>
      <c r="U226" s="308"/>
      <c r="V226" s="308"/>
      <c r="W226" s="308"/>
      <c r="X226" s="308"/>
      <c r="Y226" s="308"/>
      <c r="Z226" s="308"/>
      <c r="AA226" s="308"/>
      <c r="AB226" s="308"/>
      <c r="AC226" s="308"/>
      <c r="AD226" s="497"/>
      <c r="AE226" s="308"/>
      <c r="AF226" s="197"/>
    </row>
    <row r="227" spans="2:32" ht="15" customHeight="1">
      <c r="B227" s="337">
        <v>43</v>
      </c>
      <c r="C227" s="191">
        <v>46309</v>
      </c>
      <c r="D227" s="74" t="s">
        <v>400</v>
      </c>
      <c r="E227" s="58">
        <f t="shared" si="186"/>
        <v>43</v>
      </c>
      <c r="F227" s="351" t="s">
        <v>135</v>
      </c>
      <c r="G227" s="343">
        <f t="shared" si="187"/>
        <v>46352</v>
      </c>
      <c r="H227" s="343">
        <f t="shared" si="188"/>
        <v>46352</v>
      </c>
      <c r="I227" s="343" t="str">
        <f t="shared" si="184"/>
        <v>GUTO</v>
      </c>
      <c r="J227" s="383" t="s">
        <v>94</v>
      </c>
      <c r="K227" s="351" t="s">
        <v>90</v>
      </c>
      <c r="L227" s="384" t="str">
        <f t="shared" si="189"/>
        <v>P</v>
      </c>
      <c r="M227" s="465">
        <f>IF(K227="AV",MAX($M$12:M226)+1,0)</f>
        <v>0</v>
      </c>
      <c r="N227" s="458">
        <f>IF(K227="IT",MAX($N$12:N226)+1,0)</f>
        <v>41</v>
      </c>
      <c r="O227" s="458">
        <f>IF(K227="IT2",MAX($O$12:O226)+1,0)</f>
        <v>0</v>
      </c>
      <c r="P227" s="458">
        <f>IF(K227="ITP",MAX($P$12:P226)+1,0)</f>
        <v>0</v>
      </c>
      <c r="Q227" s="458">
        <f>IF(K227="C6",MAX($Q$12:Q226)+1,0)</f>
        <v>0</v>
      </c>
      <c r="R227" s="354" t="s">
        <v>279</v>
      </c>
      <c r="S227" s="348" t="str">
        <f t="shared" si="190"/>
        <v/>
      </c>
      <c r="T227" s="308"/>
      <c r="U227" s="308"/>
      <c r="V227" s="308"/>
      <c r="W227" s="308"/>
      <c r="X227" s="308"/>
      <c r="Y227" s="308"/>
      <c r="Z227" s="308"/>
      <c r="AA227" s="308"/>
      <c r="AB227" s="308"/>
      <c r="AC227" s="308"/>
      <c r="AD227" s="497"/>
      <c r="AE227" s="308"/>
      <c r="AF227" s="197"/>
    </row>
    <row r="228" spans="2:32" ht="15" customHeight="1">
      <c r="B228" s="337">
        <v>39.049999999999997</v>
      </c>
      <c r="C228" s="191">
        <v>46311</v>
      </c>
      <c r="D228" s="74" t="s">
        <v>46</v>
      </c>
      <c r="E228" s="58">
        <f t="shared" si="186"/>
        <v>39.049999999999997</v>
      </c>
      <c r="F228" s="351" t="s">
        <v>135</v>
      </c>
      <c r="G228" s="343">
        <f t="shared" si="187"/>
        <v>46350.05</v>
      </c>
      <c r="H228" s="343">
        <f t="shared" si="188"/>
        <v>46350.05</v>
      </c>
      <c r="I228" s="343" t="str">
        <f t="shared" si="184"/>
        <v>GUTO</v>
      </c>
      <c r="J228" s="383" t="s">
        <v>94</v>
      </c>
      <c r="K228" s="351" t="s">
        <v>90</v>
      </c>
      <c r="L228" s="384" t="str">
        <f t="shared" si="189"/>
        <v>P</v>
      </c>
      <c r="M228" s="465">
        <f>IF(K228="AV",MAX($M$12:M227)+1,0)</f>
        <v>0</v>
      </c>
      <c r="N228" s="458">
        <f>IF(K228="IT",MAX($N$12:N227)+1,0)</f>
        <v>42</v>
      </c>
      <c r="O228" s="458">
        <f>IF(K228="IT2",MAX($O$12:O227)+1,0)</f>
        <v>0</v>
      </c>
      <c r="P228" s="458">
        <f>IF(K228="ITP",MAX($P$12:P227)+1,0)</f>
        <v>0</v>
      </c>
      <c r="Q228" s="458">
        <f>IF(K228="C6",MAX($Q$12:Q227)+1,0)</f>
        <v>0</v>
      </c>
      <c r="R228" s="354"/>
      <c r="S228" s="348" t="str">
        <f t="shared" si="190"/>
        <v/>
      </c>
      <c r="T228" s="308"/>
      <c r="U228" s="308"/>
      <c r="V228" s="308"/>
      <c r="W228" s="308"/>
      <c r="X228" s="308"/>
      <c r="Y228" s="308"/>
      <c r="Z228" s="308"/>
      <c r="AA228" s="308"/>
      <c r="AB228" s="308"/>
      <c r="AC228" s="308"/>
      <c r="AD228" s="497"/>
      <c r="AE228" s="308"/>
      <c r="AF228" s="197"/>
    </row>
    <row r="229" spans="2:32" ht="15" customHeight="1">
      <c r="B229" s="337">
        <v>166.7</v>
      </c>
      <c r="C229" s="191">
        <v>46312</v>
      </c>
      <c r="D229" s="74" t="s">
        <v>403</v>
      </c>
      <c r="E229" s="58">
        <f t="shared" si="186"/>
        <v>166.7</v>
      </c>
      <c r="F229" s="351" t="s">
        <v>135</v>
      </c>
      <c r="G229" s="343">
        <f t="shared" ref="G229" si="191">IF(B229="","",B229+C229)</f>
        <v>46478.7</v>
      </c>
      <c r="H229" s="343">
        <f t="shared" ref="H229" si="192">IFERROR(VLOOKUP(G229,$AG$5:$AG$174,1,0),"")</f>
        <v>46478.7</v>
      </c>
      <c r="I229" s="343" t="str">
        <f t="shared" ref="I229" si="193">IF(H229="","","GUTO")</f>
        <v>GUTO</v>
      </c>
      <c r="J229" s="383" t="s">
        <v>94</v>
      </c>
      <c r="K229" s="351" t="s">
        <v>90</v>
      </c>
      <c r="L229" s="384" t="str">
        <f t="shared" si="189"/>
        <v>P</v>
      </c>
      <c r="M229" s="465">
        <f>IF(K229="AV",MAX($M$12:M228)+1,0)</f>
        <v>0</v>
      </c>
      <c r="N229" s="458">
        <f>IF(K229="IT",MAX($N$12:N228)+1,0)</f>
        <v>43</v>
      </c>
      <c r="O229" s="458">
        <f>IF(K229="IT2",MAX($O$12:O228)+1,0)</f>
        <v>0</v>
      </c>
      <c r="P229" s="458">
        <f>IF(K229="ITP",MAX($P$12:P228)+1,0)</f>
        <v>0</v>
      </c>
      <c r="Q229" s="458">
        <f>IF(K229="C6",MAX($Q$12:Q228)+1,0)</f>
        <v>0</v>
      </c>
      <c r="R229" s="354"/>
      <c r="S229" s="348" t="str">
        <f t="shared" si="190"/>
        <v/>
      </c>
      <c r="T229" s="308"/>
      <c r="U229" s="308"/>
      <c r="V229" s="312"/>
      <c r="W229" s="308"/>
      <c r="X229" s="308"/>
      <c r="Y229" s="308"/>
      <c r="Z229" s="308"/>
      <c r="AA229" s="308"/>
      <c r="AB229" s="308"/>
      <c r="AC229" s="308"/>
      <c r="AD229" s="497"/>
      <c r="AE229" s="308"/>
      <c r="AF229" s="197"/>
    </row>
    <row r="230" spans="2:32" ht="15" customHeight="1">
      <c r="B230" s="337">
        <v>479.74</v>
      </c>
      <c r="C230" s="191">
        <v>46309</v>
      </c>
      <c r="D230" s="428" t="s">
        <v>454</v>
      </c>
      <c r="E230" s="58">
        <f t="shared" si="186"/>
        <v>479.74</v>
      </c>
      <c r="F230" s="351" t="s">
        <v>135</v>
      </c>
      <c r="G230" s="343">
        <f t="shared" si="187"/>
        <v>46788.74</v>
      </c>
      <c r="H230" s="343">
        <f t="shared" si="188"/>
        <v>46788.74</v>
      </c>
      <c r="I230" s="343" t="str">
        <f t="shared" si="184"/>
        <v>GUTO</v>
      </c>
      <c r="J230" s="383" t="s">
        <v>94</v>
      </c>
      <c r="K230" s="351" t="s">
        <v>90</v>
      </c>
      <c r="L230" s="384" t="str">
        <f t="shared" si="189"/>
        <v>P</v>
      </c>
      <c r="M230" s="465">
        <f>IF(K230="AV",MAX($M$12:M229)+1,0)</f>
        <v>0</v>
      </c>
      <c r="N230" s="458">
        <f>IF(K230="IT",MAX($N$12:N229)+1,0)</f>
        <v>44</v>
      </c>
      <c r="O230" s="458">
        <f>IF(K230="IT2",MAX($O$12:O229)+1,0)</f>
        <v>0</v>
      </c>
      <c r="P230" s="458">
        <f>IF(K230="ITP",MAX($P$12:P229)+1,0)</f>
        <v>0</v>
      </c>
      <c r="Q230" s="458">
        <f>IF(K230="C6",MAX($Q$12:Q229)+1,0)</f>
        <v>0</v>
      </c>
      <c r="R230" s="354" t="s">
        <v>455</v>
      </c>
      <c r="S230" s="348" t="str">
        <f t="shared" si="190"/>
        <v/>
      </c>
      <c r="T230" s="308"/>
      <c r="U230" s="308"/>
      <c r="V230" s="308"/>
      <c r="W230" s="308"/>
      <c r="X230" s="308"/>
      <c r="Y230" s="308"/>
      <c r="Z230" s="308"/>
      <c r="AA230" s="308"/>
      <c r="AB230" s="308"/>
      <c r="AC230" s="308"/>
      <c r="AD230" s="497"/>
      <c r="AE230" s="308"/>
      <c r="AF230" s="197"/>
    </row>
    <row r="231" spans="2:32" ht="15" customHeight="1">
      <c r="B231" s="337">
        <v>80</v>
      </c>
      <c r="C231" s="191">
        <v>46316</v>
      </c>
      <c r="D231" s="74" t="s">
        <v>456</v>
      </c>
      <c r="E231" s="58">
        <f t="shared" si="186"/>
        <v>80</v>
      </c>
      <c r="F231" s="351" t="s">
        <v>135</v>
      </c>
      <c r="G231" s="343">
        <f t="shared" si="187"/>
        <v>46396</v>
      </c>
      <c r="H231" s="343">
        <f t="shared" si="188"/>
        <v>46396</v>
      </c>
      <c r="I231" s="343" t="str">
        <f t="shared" si="184"/>
        <v>GUTO</v>
      </c>
      <c r="J231" s="383" t="s">
        <v>94</v>
      </c>
      <c r="K231" s="351" t="s">
        <v>90</v>
      </c>
      <c r="L231" s="384" t="str">
        <f t="shared" si="189"/>
        <v>P</v>
      </c>
      <c r="M231" s="465">
        <f>IF(K231="AV",MAX($M$12:M230)+1,0)</f>
        <v>0</v>
      </c>
      <c r="N231" s="458">
        <f>IF(K231="IT",MAX($N$12:N230)+1,0)</f>
        <v>45</v>
      </c>
      <c r="O231" s="458">
        <f>IF(K231="IT2",MAX($O$12:O230)+1,0)</f>
        <v>0</v>
      </c>
      <c r="P231" s="458">
        <f>IF(K231="ITP",MAX($P$12:P230)+1,0)</f>
        <v>0</v>
      </c>
      <c r="Q231" s="458">
        <f>IF(K231="C6",MAX($Q$12:Q230)+1,0)</f>
        <v>0</v>
      </c>
      <c r="R231" s="354"/>
      <c r="S231" s="348" t="str">
        <f t="shared" si="190"/>
        <v/>
      </c>
      <c r="T231" s="308"/>
      <c r="U231" s="308"/>
      <c r="V231" s="308"/>
      <c r="W231" s="308"/>
      <c r="X231" s="308"/>
      <c r="Y231" s="308"/>
      <c r="Z231" s="308"/>
      <c r="AA231" s="308"/>
      <c r="AB231" s="308"/>
      <c r="AC231" s="308"/>
      <c r="AD231" s="497"/>
      <c r="AE231" s="308"/>
      <c r="AF231" s="197"/>
    </row>
    <row r="232" spans="2:32" ht="15" customHeight="1">
      <c r="B232" s="337">
        <v>74</v>
      </c>
      <c r="C232" s="191">
        <v>46317</v>
      </c>
      <c r="D232" s="74" t="s">
        <v>457</v>
      </c>
      <c r="E232" s="58">
        <f t="shared" si="186"/>
        <v>74</v>
      </c>
      <c r="F232" s="351" t="s">
        <v>135</v>
      </c>
      <c r="G232" s="343">
        <f t="shared" si="187"/>
        <v>46391</v>
      </c>
      <c r="H232" s="343">
        <f t="shared" si="188"/>
        <v>46391</v>
      </c>
      <c r="I232" s="343" t="str">
        <f t="shared" si="184"/>
        <v>GUTO</v>
      </c>
      <c r="J232" s="383" t="s">
        <v>94</v>
      </c>
      <c r="K232" s="351" t="s">
        <v>90</v>
      </c>
      <c r="L232" s="384" t="str">
        <f t="shared" si="189"/>
        <v>P</v>
      </c>
      <c r="M232" s="465">
        <f>IF(K232="AV",MAX($M$12:M231)+1,0)</f>
        <v>0</v>
      </c>
      <c r="N232" s="458">
        <f>IF(K232="IT",MAX($N$12:N231)+1,0)</f>
        <v>46</v>
      </c>
      <c r="O232" s="458">
        <f>IF(K232="IT2",MAX($O$12:O231)+1,0)</f>
        <v>0</v>
      </c>
      <c r="P232" s="458">
        <f>IF(K232="ITP",MAX($P$12:P231)+1,0)</f>
        <v>0</v>
      </c>
      <c r="Q232" s="458">
        <f>IF(K232="C6",MAX($Q$12:Q231)+1,0)</f>
        <v>0</v>
      </c>
      <c r="R232" s="354"/>
      <c r="S232" s="348" t="str">
        <f t="shared" si="190"/>
        <v/>
      </c>
      <c r="T232" s="308"/>
      <c r="U232" s="308"/>
      <c r="V232" s="308"/>
      <c r="W232" s="308"/>
      <c r="X232" s="308"/>
      <c r="Y232" s="308"/>
      <c r="Z232" s="308"/>
      <c r="AA232" s="308"/>
      <c r="AB232" s="308"/>
      <c r="AC232" s="308"/>
      <c r="AD232" s="497"/>
      <c r="AE232" s="308"/>
      <c r="AF232" s="197"/>
    </row>
    <row r="233" spans="2:32" ht="15" customHeight="1">
      <c r="B233" s="337"/>
      <c r="C233" s="191"/>
      <c r="D233" s="74"/>
      <c r="E233" s="58" t="str">
        <f t="shared" si="186"/>
        <v/>
      </c>
      <c r="F233" s="351"/>
      <c r="G233" s="343" t="str">
        <f t="shared" si="187"/>
        <v/>
      </c>
      <c r="H233" s="343" t="str">
        <f t="shared" si="188"/>
        <v/>
      </c>
      <c r="I233" s="343" t="str">
        <f t="shared" si="184"/>
        <v/>
      </c>
      <c r="J233" s="383"/>
      <c r="K233" s="351"/>
      <c r="L233" s="384" t="str">
        <f t="shared" si="189"/>
        <v/>
      </c>
      <c r="M233" s="465">
        <f>IF(K233="AV",MAX($M$12:M232)+1,0)</f>
        <v>0</v>
      </c>
      <c r="N233" s="458">
        <f>IF(K233="IT",MAX($N$12:N232)+1,0)</f>
        <v>0</v>
      </c>
      <c r="O233" s="458">
        <f>IF(K233="IT2",MAX($O$12:O232)+1,0)</f>
        <v>0</v>
      </c>
      <c r="P233" s="458">
        <f>IF(K233="ITP",MAX($P$12:P232)+1,0)</f>
        <v>0</v>
      </c>
      <c r="Q233" s="458">
        <f>IF(K233="C6",MAX($Q$12:Q232)+1,0)</f>
        <v>0</v>
      </c>
      <c r="R233" s="354"/>
      <c r="S233" s="348" t="str">
        <f t="shared" si="190"/>
        <v/>
      </c>
      <c r="T233" s="308"/>
      <c r="U233" s="308"/>
      <c r="V233" s="308"/>
      <c r="W233" s="308"/>
      <c r="X233" s="308"/>
      <c r="Y233" s="308"/>
      <c r="Z233" s="308"/>
      <c r="AA233" s="308"/>
      <c r="AB233" s="308"/>
      <c r="AC233" s="308"/>
      <c r="AD233" s="497"/>
      <c r="AE233" s="308"/>
      <c r="AF233" s="197"/>
    </row>
    <row r="234" spans="2:32" ht="15" customHeight="1">
      <c r="B234" s="337"/>
      <c r="C234" s="191"/>
      <c r="D234" s="74"/>
      <c r="E234" s="58" t="str">
        <f t="shared" si="186"/>
        <v/>
      </c>
      <c r="F234" s="351"/>
      <c r="G234" s="343" t="str">
        <f t="shared" si="187"/>
        <v/>
      </c>
      <c r="H234" s="343" t="str">
        <f t="shared" si="188"/>
        <v/>
      </c>
      <c r="I234" s="343" t="str">
        <f t="shared" si="184"/>
        <v/>
      </c>
      <c r="J234" s="383"/>
      <c r="K234" s="351"/>
      <c r="L234" s="384" t="str">
        <f t="shared" si="189"/>
        <v/>
      </c>
      <c r="M234" s="465">
        <f>IF(K234="AV",MAX($M$12:M233)+1,0)</f>
        <v>0</v>
      </c>
      <c r="N234" s="458">
        <f>IF(K234="IT",MAX($N$12:N233)+1,0)</f>
        <v>0</v>
      </c>
      <c r="O234" s="458">
        <f>IF(K234="IT2",MAX($O$12:O233)+1,0)</f>
        <v>0</v>
      </c>
      <c r="P234" s="458">
        <f>IF(K234="ITP",MAX($P$12:P233)+1,0)</f>
        <v>0</v>
      </c>
      <c r="Q234" s="458">
        <f>IF(K234="C6",MAX($Q$12:Q233)+1,0)</f>
        <v>0</v>
      </c>
      <c r="R234" s="354"/>
      <c r="S234" s="348" t="str">
        <f t="shared" si="190"/>
        <v/>
      </c>
      <c r="T234" s="308"/>
      <c r="U234" s="308"/>
      <c r="V234" s="308"/>
      <c r="W234" s="308"/>
      <c r="X234" s="308"/>
      <c r="Y234" s="308"/>
      <c r="Z234" s="308"/>
      <c r="AA234" s="308"/>
      <c r="AB234" s="308"/>
      <c r="AC234" s="308"/>
      <c r="AD234" s="497"/>
      <c r="AE234" s="308"/>
      <c r="AF234" s="197"/>
    </row>
    <row r="235" spans="2:32" ht="15" customHeight="1">
      <c r="B235" s="337"/>
      <c r="C235" s="191"/>
      <c r="D235" s="74"/>
      <c r="E235" s="58" t="str">
        <f t="shared" si="183"/>
        <v/>
      </c>
      <c r="F235" s="351"/>
      <c r="G235" s="343" t="str">
        <f t="shared" si="180"/>
        <v/>
      </c>
      <c r="H235" s="343" t="str">
        <f t="shared" si="181"/>
        <v/>
      </c>
      <c r="I235" s="343" t="str">
        <f t="shared" si="184"/>
        <v/>
      </c>
      <c r="J235" s="383"/>
      <c r="K235" s="351"/>
      <c r="L235" s="384" t="str">
        <f t="shared" si="182"/>
        <v/>
      </c>
      <c r="M235" s="465">
        <f>IF(K235="AV",MAX($M$12:M234)+1,0)</f>
        <v>0</v>
      </c>
      <c r="N235" s="458">
        <f>IF(K235="IT",MAX($N$12:N234)+1,0)</f>
        <v>0</v>
      </c>
      <c r="O235" s="458">
        <f>IF(K235="IT2",MAX($O$12:O234)+1,0)</f>
        <v>0</v>
      </c>
      <c r="P235" s="458">
        <f>IF(K235="ITP",MAX($P$12:P234)+1,0)</f>
        <v>0</v>
      </c>
      <c r="Q235" s="458">
        <f>IF(K235="C6",MAX($Q$12:Q234)+1,0)</f>
        <v>0</v>
      </c>
      <c r="R235" s="354"/>
      <c r="S235" s="348" t="str">
        <f t="shared" si="185"/>
        <v/>
      </c>
      <c r="T235" s="308"/>
      <c r="U235" s="308"/>
      <c r="V235" s="308"/>
      <c r="W235" s="308"/>
      <c r="X235" s="308"/>
      <c r="Y235" s="308"/>
      <c r="Z235" s="308"/>
      <c r="AA235" s="308"/>
      <c r="AB235" s="308"/>
      <c r="AC235" s="308"/>
      <c r="AD235" s="497"/>
      <c r="AE235" s="308"/>
      <c r="AF235" s="197"/>
    </row>
    <row r="236" spans="2:32" ht="15" customHeight="1">
      <c r="B236" s="337"/>
      <c r="C236" s="191"/>
      <c r="D236" s="74"/>
      <c r="E236" s="58" t="str">
        <f t="shared" si="183"/>
        <v/>
      </c>
      <c r="F236" s="351"/>
      <c r="G236" s="343" t="str">
        <f t="shared" si="180"/>
        <v/>
      </c>
      <c r="H236" s="343" t="str">
        <f t="shared" si="181"/>
        <v/>
      </c>
      <c r="I236" s="343" t="str">
        <f t="shared" si="184"/>
        <v/>
      </c>
      <c r="J236" s="383"/>
      <c r="K236" s="351"/>
      <c r="L236" s="384" t="str">
        <f t="shared" si="182"/>
        <v/>
      </c>
      <c r="M236" s="465">
        <f>IF(K236="AV",MAX($M$12:M235)+1,0)</f>
        <v>0</v>
      </c>
      <c r="N236" s="458">
        <f>IF(K236="IT",MAX($N$12:N235)+1,0)</f>
        <v>0</v>
      </c>
      <c r="O236" s="458">
        <f>IF(K236="IT2",MAX($O$12:O235)+1,0)</f>
        <v>0</v>
      </c>
      <c r="P236" s="458">
        <f>IF(K236="ITP",MAX($P$12:P235)+1,0)</f>
        <v>0</v>
      </c>
      <c r="Q236" s="458">
        <f>IF(K236="C6",MAX($Q$12:Q235)+1,0)</f>
        <v>0</v>
      </c>
      <c r="R236" s="354"/>
      <c r="S236" s="348" t="str">
        <f t="shared" si="185"/>
        <v/>
      </c>
      <c r="T236" s="308"/>
      <c r="U236" s="308"/>
      <c r="V236" s="308"/>
      <c r="W236" s="308"/>
      <c r="X236" s="308"/>
      <c r="Y236" s="308"/>
      <c r="Z236" s="308"/>
      <c r="AA236" s="308"/>
      <c r="AB236" s="308"/>
      <c r="AC236" s="308"/>
      <c r="AD236" s="497"/>
      <c r="AE236" s="308"/>
      <c r="AF236" s="197"/>
    </row>
    <row r="237" spans="2:32" ht="15" customHeight="1">
      <c r="B237" s="337"/>
      <c r="C237" s="191"/>
      <c r="D237" s="74"/>
      <c r="E237" s="58" t="str">
        <f t="shared" si="183"/>
        <v/>
      </c>
      <c r="F237" s="351"/>
      <c r="G237" s="343" t="str">
        <f t="shared" si="180"/>
        <v/>
      </c>
      <c r="H237" s="343" t="str">
        <f t="shared" si="181"/>
        <v/>
      </c>
      <c r="I237" s="343" t="str">
        <f t="shared" si="184"/>
        <v/>
      </c>
      <c r="J237" s="383"/>
      <c r="K237" s="351"/>
      <c r="L237" s="384" t="str">
        <f t="shared" si="182"/>
        <v/>
      </c>
      <c r="M237" s="465">
        <f>IF(K237="AV",MAX($M$12:M236)+1,0)</f>
        <v>0</v>
      </c>
      <c r="N237" s="458">
        <f>IF(K237="IT",MAX($N$12:N236)+1,0)</f>
        <v>0</v>
      </c>
      <c r="O237" s="458">
        <f>IF(K237="IT2",MAX($O$12:O236)+1,0)</f>
        <v>0</v>
      </c>
      <c r="P237" s="458">
        <f>IF(K237="ITP",MAX($P$12:P236)+1,0)</f>
        <v>0</v>
      </c>
      <c r="Q237" s="458">
        <f>IF(K237="C6",MAX($Q$12:Q236)+1,0)</f>
        <v>0</v>
      </c>
      <c r="R237" s="354"/>
      <c r="S237" s="348" t="str">
        <f t="shared" si="185"/>
        <v/>
      </c>
      <c r="T237" s="308"/>
      <c r="U237" s="308"/>
      <c r="V237" s="308"/>
      <c r="W237" s="308"/>
      <c r="X237" s="308"/>
      <c r="Y237" s="308"/>
      <c r="Z237" s="308"/>
      <c r="AA237" s="308"/>
      <c r="AB237" s="308"/>
      <c r="AC237" s="308"/>
      <c r="AD237" s="497"/>
      <c r="AE237" s="308"/>
      <c r="AF237" s="197"/>
    </row>
    <row r="238" spans="2:32" ht="15" customHeight="1">
      <c r="B238" s="337"/>
      <c r="C238" s="191"/>
      <c r="D238" s="74"/>
      <c r="E238" s="58" t="str">
        <f t="shared" si="183"/>
        <v/>
      </c>
      <c r="F238" s="351"/>
      <c r="G238" s="343" t="str">
        <f t="shared" si="180"/>
        <v/>
      </c>
      <c r="H238" s="343" t="str">
        <f t="shared" si="181"/>
        <v/>
      </c>
      <c r="I238" s="343" t="str">
        <f t="shared" si="184"/>
        <v/>
      </c>
      <c r="J238" s="383"/>
      <c r="K238" s="351"/>
      <c r="L238" s="384" t="str">
        <f t="shared" si="182"/>
        <v/>
      </c>
      <c r="M238" s="465">
        <f>IF(K238="AV",MAX($M$12:M237)+1,0)</f>
        <v>0</v>
      </c>
      <c r="N238" s="458">
        <f>IF(K238="IT",MAX($N$12:N237)+1,0)</f>
        <v>0</v>
      </c>
      <c r="O238" s="458">
        <f>IF(K238="IT2",MAX($O$12:O237)+1,0)</f>
        <v>0</v>
      </c>
      <c r="P238" s="458">
        <f>IF(K238="ITP",MAX($P$12:P237)+1,0)</f>
        <v>0</v>
      </c>
      <c r="Q238" s="458">
        <f>IF(K238="C6",MAX($Q$12:Q237)+1,0)</f>
        <v>0</v>
      </c>
      <c r="R238" s="355"/>
      <c r="S238" s="348" t="str">
        <f t="shared" si="185"/>
        <v/>
      </c>
      <c r="T238" s="308"/>
      <c r="U238" s="308"/>
      <c r="V238" s="308"/>
      <c r="W238" s="308"/>
      <c r="X238" s="308"/>
      <c r="Y238" s="308"/>
      <c r="Z238" s="308"/>
      <c r="AA238" s="308"/>
      <c r="AB238" s="308"/>
      <c r="AC238" s="308"/>
      <c r="AD238" s="497"/>
      <c r="AE238" s="308"/>
      <c r="AF238" s="197"/>
    </row>
    <row r="239" spans="2:32" ht="15" customHeight="1">
      <c r="B239" s="338"/>
      <c r="C239" s="215"/>
      <c r="D239" s="76"/>
      <c r="E239" s="67" t="str">
        <f>IF(OR(B239="",F239="Pago"),"",B239)</f>
        <v/>
      </c>
      <c r="F239" s="356"/>
      <c r="G239" s="345" t="str">
        <f t="shared" si="180"/>
        <v/>
      </c>
      <c r="H239" s="345" t="str">
        <f t="shared" si="181"/>
        <v/>
      </c>
      <c r="I239" s="345" t="str">
        <f t="shared" si="184"/>
        <v/>
      </c>
      <c r="J239" s="357"/>
      <c r="K239" s="356"/>
      <c r="L239" s="359" t="str">
        <f>IF(K239="AV","8",IF(AND(G239="",H239=""),"",IF(G239=H239,"P",IF(G239&lt;&gt;H239,"O"))))</f>
        <v/>
      </c>
      <c r="M239" s="466">
        <f>IF(K239="AV",MAX($M$12:M238)+1,0)</f>
        <v>0</v>
      </c>
      <c r="N239" s="459">
        <f>IF(K239="IT",MAX($N$12:N238)+1,0)</f>
        <v>0</v>
      </c>
      <c r="O239" s="459">
        <f>IF(K239="IT2",MAX($O$12:O238)+1,0)</f>
        <v>0</v>
      </c>
      <c r="P239" s="459">
        <f>IF(K239="ITP",MAX($P$12:P238)+1,0)</f>
        <v>0</v>
      </c>
      <c r="Q239" s="459">
        <f>IF(K239="C6",MAX($Q$12:Q238)+1,0)</f>
        <v>0</v>
      </c>
      <c r="R239" s="360"/>
      <c r="S239" s="349" t="str">
        <f>IF(F239="Pago",B239,"")</f>
        <v/>
      </c>
      <c r="T239" s="308"/>
      <c r="U239" s="308"/>
      <c r="V239" s="308"/>
      <c r="W239" s="308"/>
      <c r="X239" s="308"/>
      <c r="Y239" s="308"/>
      <c r="Z239" s="308"/>
      <c r="AA239" s="308"/>
      <c r="AB239" s="308"/>
      <c r="AC239" s="308"/>
      <c r="AD239" s="497"/>
      <c r="AE239" s="308"/>
      <c r="AF239" s="197"/>
    </row>
    <row r="240" spans="2:32" ht="15" customHeight="1">
      <c r="B240" s="308"/>
      <c r="C240" s="308"/>
      <c r="D240" s="308"/>
      <c r="E240" s="308"/>
      <c r="F240" s="308"/>
      <c r="G240" s="308"/>
      <c r="H240" s="308"/>
      <c r="I240" s="308"/>
      <c r="J240" s="308"/>
      <c r="K240" s="308"/>
      <c r="L240" s="308"/>
      <c r="M240" s="455"/>
      <c r="N240" s="455"/>
      <c r="O240" s="455"/>
      <c r="P240" s="455"/>
      <c r="Q240" s="455"/>
      <c r="R240" s="308"/>
      <c r="S240" s="308"/>
      <c r="T240" s="308"/>
      <c r="U240" s="308"/>
      <c r="V240" s="308"/>
      <c r="W240" s="308"/>
      <c r="X240" s="308"/>
      <c r="Y240" s="308"/>
      <c r="Z240" s="308"/>
      <c r="AA240" s="308"/>
      <c r="AB240" s="308"/>
      <c r="AC240" s="308"/>
      <c r="AD240" s="497"/>
      <c r="AE240" s="308"/>
      <c r="AF240" s="197"/>
    </row>
    <row r="241" spans="2:32" ht="15" customHeight="1">
      <c r="B241" s="308"/>
      <c r="C241" s="308"/>
      <c r="D241" s="308"/>
      <c r="E241" s="308"/>
      <c r="F241" s="308"/>
      <c r="G241" s="308"/>
      <c r="H241" s="308"/>
      <c r="I241" s="308"/>
      <c r="J241" s="308"/>
      <c r="K241" s="308"/>
      <c r="L241" s="308"/>
      <c r="M241" s="455"/>
      <c r="N241" s="455"/>
      <c r="O241" s="455"/>
      <c r="P241" s="455"/>
      <c r="Q241" s="455"/>
      <c r="R241" s="308"/>
      <c r="S241" s="308"/>
      <c r="T241" s="308"/>
      <c r="U241" s="308"/>
      <c r="V241" s="308"/>
      <c r="W241" s="308"/>
      <c r="X241" s="308"/>
      <c r="Y241" s="308"/>
      <c r="Z241" s="308"/>
      <c r="AA241" s="308"/>
      <c r="AB241" s="308"/>
      <c r="AC241" s="308"/>
      <c r="AD241" s="497"/>
      <c r="AE241" s="308"/>
      <c r="AF241" s="197"/>
    </row>
    <row r="242" spans="2:32" ht="15" customHeight="1">
      <c r="B242" s="308"/>
      <c r="C242" s="308"/>
      <c r="D242" s="308"/>
      <c r="E242" s="308"/>
      <c r="F242" s="308"/>
      <c r="G242" s="308"/>
      <c r="H242" s="308"/>
      <c r="I242" s="308"/>
      <c r="J242" s="308"/>
      <c r="K242" s="308"/>
      <c r="L242" s="308"/>
      <c r="M242" s="455"/>
      <c r="N242" s="455"/>
      <c r="O242" s="455"/>
      <c r="P242" s="455"/>
      <c r="Q242" s="455"/>
      <c r="R242" s="308"/>
      <c r="S242" s="308"/>
      <c r="T242" s="308"/>
      <c r="U242" s="308"/>
      <c r="V242" s="308"/>
      <c r="W242" s="308"/>
      <c r="X242" s="308"/>
      <c r="Y242" s="308"/>
      <c r="Z242" s="308"/>
      <c r="AA242" s="308"/>
      <c r="AB242" s="308"/>
      <c r="AC242" s="308"/>
      <c r="AD242" s="497"/>
      <c r="AE242" s="308"/>
      <c r="AF242" s="197"/>
    </row>
    <row r="243" spans="2:32" ht="15" customHeight="1">
      <c r="B243" s="308"/>
      <c r="C243" s="308"/>
      <c r="D243" s="308"/>
      <c r="E243" s="308"/>
      <c r="F243" s="308"/>
      <c r="G243" s="308"/>
      <c r="H243" s="308"/>
      <c r="I243" s="308"/>
      <c r="J243" s="308"/>
      <c r="K243" s="308"/>
      <c r="L243" s="308"/>
      <c r="M243" s="455"/>
      <c r="N243" s="455"/>
      <c r="O243" s="455"/>
      <c r="P243" s="455"/>
      <c r="Q243" s="455"/>
      <c r="R243" s="308"/>
      <c r="S243" s="308"/>
      <c r="T243" s="308"/>
      <c r="U243" s="308"/>
      <c r="V243" s="308"/>
      <c r="W243" s="308"/>
      <c r="X243" s="308"/>
      <c r="Y243" s="308"/>
      <c r="Z243" s="308"/>
      <c r="AA243" s="308"/>
      <c r="AB243" s="308"/>
      <c r="AC243" s="308"/>
      <c r="AD243" s="497"/>
      <c r="AE243" s="308"/>
      <c r="AF243" s="197"/>
    </row>
    <row r="244" spans="2:32" ht="15" customHeight="1">
      <c r="B244" s="308"/>
      <c r="C244" s="308"/>
      <c r="D244" s="308"/>
      <c r="E244" s="308"/>
      <c r="F244" s="308"/>
      <c r="G244" s="308"/>
      <c r="H244" s="308"/>
      <c r="I244" s="308"/>
      <c r="J244" s="308"/>
      <c r="K244" s="308"/>
      <c r="L244" s="308"/>
      <c r="M244" s="455"/>
      <c r="N244" s="455"/>
      <c r="O244" s="455"/>
      <c r="P244" s="455"/>
      <c r="Q244" s="455"/>
      <c r="R244" s="308"/>
      <c r="S244" s="308"/>
      <c r="T244" s="308"/>
      <c r="U244" s="308"/>
      <c r="V244" s="308"/>
      <c r="W244" s="308"/>
      <c r="X244" s="308"/>
      <c r="Y244" s="308"/>
      <c r="Z244" s="308"/>
      <c r="AA244" s="308"/>
      <c r="AB244" s="308"/>
      <c r="AC244" s="308"/>
      <c r="AD244" s="497"/>
      <c r="AE244" s="308"/>
      <c r="AF244" s="197"/>
    </row>
    <row r="245" spans="2:32" ht="15" customHeight="1">
      <c r="B245" s="308"/>
      <c r="C245" s="308"/>
      <c r="D245" s="308"/>
      <c r="E245" s="308"/>
      <c r="F245" s="308"/>
      <c r="G245" s="308"/>
      <c r="H245" s="308"/>
      <c r="I245" s="308"/>
      <c r="J245" s="308"/>
      <c r="K245" s="308"/>
      <c r="L245" s="308"/>
      <c r="M245" s="455"/>
      <c r="N245" s="455"/>
      <c r="O245" s="455"/>
      <c r="P245" s="455"/>
      <c r="Q245" s="455"/>
      <c r="R245" s="308"/>
      <c r="S245" s="308"/>
      <c r="T245" s="308"/>
      <c r="U245" s="308"/>
      <c r="V245" s="308"/>
      <c r="W245" s="308"/>
      <c r="X245" s="308"/>
      <c r="Y245" s="308"/>
      <c r="Z245" s="308"/>
      <c r="AA245" s="308"/>
      <c r="AB245" s="308"/>
      <c r="AC245" s="308"/>
      <c r="AD245" s="497"/>
      <c r="AE245" s="308"/>
      <c r="AF245" s="197"/>
    </row>
    <row r="246" spans="2:32" ht="15" customHeight="1">
      <c r="B246" s="308"/>
      <c r="C246" s="308"/>
      <c r="D246" s="308"/>
      <c r="E246" s="308"/>
      <c r="F246" s="308"/>
      <c r="G246" s="308"/>
      <c r="H246" s="308"/>
      <c r="I246" s="308"/>
      <c r="J246" s="308"/>
      <c r="K246" s="308"/>
      <c r="L246" s="308"/>
      <c r="M246" s="455"/>
      <c r="N246" s="455"/>
      <c r="O246" s="455"/>
      <c r="P246" s="455"/>
      <c r="Q246" s="455"/>
      <c r="R246" s="308"/>
      <c r="S246" s="308"/>
      <c r="T246" s="308"/>
      <c r="U246" s="308"/>
      <c r="V246" s="308"/>
      <c r="W246" s="308"/>
      <c r="X246" s="308"/>
      <c r="Y246" s="308"/>
      <c r="Z246" s="308"/>
      <c r="AA246" s="308"/>
      <c r="AB246" s="308"/>
      <c r="AC246" s="308"/>
      <c r="AD246" s="497"/>
      <c r="AE246" s="308"/>
      <c r="AF246" s="197"/>
    </row>
    <row r="247" spans="2:32" ht="15" customHeight="1">
      <c r="B247" s="308"/>
      <c r="C247" s="308"/>
      <c r="D247" s="308"/>
      <c r="E247" s="308"/>
      <c r="F247" s="308"/>
      <c r="G247" s="308"/>
      <c r="H247" s="308"/>
      <c r="I247" s="308"/>
      <c r="J247" s="308"/>
      <c r="K247" s="308"/>
      <c r="L247" s="308"/>
      <c r="M247" s="455"/>
      <c r="N247" s="455"/>
      <c r="O247" s="455"/>
      <c r="P247" s="455"/>
      <c r="Q247" s="455"/>
      <c r="R247" s="308"/>
      <c r="S247" s="308"/>
      <c r="T247" s="308"/>
      <c r="U247" s="308"/>
      <c r="V247" s="308"/>
      <c r="W247" s="308"/>
      <c r="X247" s="308"/>
      <c r="Y247" s="308"/>
      <c r="Z247" s="308"/>
      <c r="AA247" s="308"/>
      <c r="AB247" s="308"/>
      <c r="AC247" s="308"/>
      <c r="AD247" s="497"/>
      <c r="AE247" s="308"/>
      <c r="AF247" s="197"/>
    </row>
    <row r="248" spans="2:32">
      <c r="B248" s="308"/>
      <c r="C248" s="308"/>
      <c r="D248" s="308"/>
      <c r="E248" s="308"/>
      <c r="F248" s="308"/>
      <c r="G248" s="308"/>
      <c r="H248" s="308"/>
      <c r="I248" s="308"/>
      <c r="J248" s="308"/>
      <c r="K248" s="308"/>
      <c r="L248" s="308"/>
      <c r="M248" s="455"/>
      <c r="N248" s="455"/>
      <c r="O248" s="455"/>
      <c r="P248" s="455"/>
      <c r="Q248" s="455"/>
      <c r="R248" s="308"/>
      <c r="S248" s="308"/>
      <c r="T248" s="308"/>
      <c r="U248" s="308"/>
      <c r="V248" s="308"/>
      <c r="W248" s="308"/>
      <c r="X248" s="308"/>
      <c r="Y248" s="308"/>
      <c r="Z248" s="308"/>
      <c r="AA248" s="308"/>
      <c r="AB248" s="308"/>
      <c r="AC248" s="308"/>
      <c r="AD248" s="497"/>
      <c r="AE248" s="308"/>
      <c r="AF248" s="197"/>
    </row>
    <row r="249" spans="2:32">
      <c r="B249" s="308"/>
      <c r="C249" s="308"/>
      <c r="D249" s="308"/>
      <c r="E249" s="308"/>
      <c r="F249" s="308"/>
      <c r="G249" s="308"/>
      <c r="H249" s="308"/>
      <c r="I249" s="308"/>
      <c r="J249" s="308"/>
      <c r="K249" s="308"/>
      <c r="L249" s="308"/>
      <c r="M249" s="455"/>
      <c r="N249" s="455"/>
      <c r="O249" s="455"/>
      <c r="P249" s="455"/>
      <c r="Q249" s="455"/>
      <c r="R249" s="308"/>
      <c r="S249" s="308"/>
      <c r="T249" s="308"/>
      <c r="U249" s="308"/>
      <c r="V249" s="308"/>
      <c r="W249" s="308"/>
      <c r="X249" s="308"/>
      <c r="Y249" s="308"/>
      <c r="Z249" s="308"/>
      <c r="AA249" s="308"/>
      <c r="AB249" s="308"/>
      <c r="AC249" s="308"/>
      <c r="AD249" s="497"/>
      <c r="AE249" s="308"/>
      <c r="AF249" s="197"/>
    </row>
    <row r="250" spans="2:32">
      <c r="B250" s="308"/>
      <c r="C250" s="308"/>
      <c r="D250" s="308"/>
      <c r="E250" s="308"/>
      <c r="F250" s="308"/>
      <c r="G250" s="308"/>
      <c r="H250" s="308"/>
      <c r="I250" s="308"/>
      <c r="J250" s="308"/>
      <c r="K250" s="308"/>
      <c r="L250" s="308"/>
      <c r="M250" s="455"/>
      <c r="N250" s="455"/>
      <c r="O250" s="455"/>
      <c r="P250" s="455"/>
      <c r="Q250" s="455"/>
      <c r="R250" s="308"/>
      <c r="S250" s="308"/>
      <c r="T250" s="308"/>
      <c r="U250" s="308"/>
      <c r="V250" s="308"/>
      <c r="W250" s="308"/>
      <c r="X250" s="308"/>
      <c r="Y250" s="308"/>
      <c r="Z250" s="308"/>
      <c r="AA250" s="308"/>
      <c r="AB250" s="308"/>
      <c r="AC250" s="308"/>
      <c r="AD250" s="497"/>
      <c r="AE250" s="308"/>
      <c r="AF250" s="197"/>
    </row>
    <row r="251" spans="2:32">
      <c r="B251" s="308"/>
      <c r="C251" s="308"/>
      <c r="D251" s="308"/>
      <c r="E251" s="308"/>
      <c r="F251" s="308"/>
      <c r="G251" s="308"/>
      <c r="H251" s="308"/>
      <c r="I251" s="308"/>
      <c r="J251" s="308"/>
      <c r="K251" s="308"/>
      <c r="L251" s="308"/>
      <c r="M251" s="455"/>
      <c r="N251" s="455"/>
      <c r="O251" s="455"/>
      <c r="P251" s="455"/>
      <c r="Q251" s="455"/>
      <c r="R251" s="308"/>
      <c r="S251" s="308"/>
      <c r="T251" s="308"/>
      <c r="U251" s="308"/>
      <c r="V251" s="308"/>
      <c r="W251" s="308"/>
      <c r="X251" s="308"/>
      <c r="Y251" s="308"/>
      <c r="Z251" s="308"/>
      <c r="AA251" s="308"/>
      <c r="AB251" s="308"/>
      <c r="AC251" s="308"/>
      <c r="AD251" s="497"/>
      <c r="AE251" s="308"/>
      <c r="AF251" s="197"/>
    </row>
    <row r="252" spans="2:32">
      <c r="B252" s="308"/>
      <c r="C252" s="308"/>
      <c r="D252" s="308"/>
      <c r="E252" s="308"/>
      <c r="F252" s="308"/>
      <c r="G252" s="308"/>
      <c r="H252" s="308"/>
      <c r="I252" s="308"/>
      <c r="J252" s="308"/>
      <c r="K252" s="308"/>
      <c r="L252" s="308"/>
      <c r="M252" s="455"/>
      <c r="N252" s="455"/>
      <c r="O252" s="455"/>
      <c r="P252" s="455"/>
      <c r="Q252" s="455"/>
      <c r="R252" s="308"/>
      <c r="S252" s="308"/>
      <c r="T252" s="308"/>
      <c r="U252" s="308"/>
      <c r="V252" s="308"/>
      <c r="W252" s="308"/>
      <c r="X252" s="308"/>
      <c r="Y252" s="308"/>
      <c r="Z252" s="308"/>
      <c r="AA252" s="308"/>
      <c r="AB252" s="308"/>
      <c r="AC252" s="308"/>
      <c r="AD252" s="497"/>
      <c r="AE252" s="308"/>
      <c r="AF252" s="197"/>
    </row>
    <row r="253" spans="2:32">
      <c r="B253" s="308"/>
      <c r="C253" s="308"/>
      <c r="D253" s="308"/>
      <c r="E253" s="308"/>
      <c r="F253" s="308"/>
      <c r="G253" s="308"/>
      <c r="H253" s="308"/>
      <c r="I253" s="308"/>
      <c r="J253" s="308"/>
      <c r="K253" s="308"/>
      <c r="L253" s="308"/>
      <c r="M253" s="455"/>
      <c r="N253" s="455"/>
      <c r="O253" s="455"/>
      <c r="P253" s="455"/>
      <c r="Q253" s="455"/>
      <c r="R253" s="311"/>
      <c r="S253" s="308"/>
      <c r="T253" s="308"/>
      <c r="U253" s="308"/>
      <c r="V253" s="308"/>
      <c r="W253" s="308"/>
      <c r="X253" s="308"/>
      <c r="Y253" s="308"/>
      <c r="Z253" s="308"/>
      <c r="AA253" s="308"/>
      <c r="AB253" s="308"/>
      <c r="AC253" s="308"/>
      <c r="AD253" s="497"/>
      <c r="AE253" s="308"/>
      <c r="AF253" s="197"/>
    </row>
    <row r="254" spans="2:32">
      <c r="T254" s="308"/>
      <c r="U254" s="308"/>
      <c r="V254" s="308"/>
      <c r="W254" s="308"/>
      <c r="X254" s="308"/>
      <c r="Y254" s="308"/>
      <c r="Z254" s="308"/>
      <c r="AA254" s="308"/>
      <c r="AB254" s="308"/>
      <c r="AC254" s="308"/>
      <c r="AD254" s="497"/>
      <c r="AE254" s="308"/>
      <c r="AF254" s="197"/>
    </row>
    <row r="255" spans="2:32">
      <c r="T255" s="308"/>
      <c r="U255" s="308"/>
      <c r="V255" s="308"/>
      <c r="W255" s="308"/>
      <c r="X255" s="308"/>
      <c r="Y255" s="308"/>
      <c r="Z255" s="308"/>
      <c r="AA255" s="308"/>
      <c r="AB255" s="308"/>
      <c r="AC255" s="308"/>
      <c r="AD255" s="497"/>
      <c r="AE255" s="308"/>
      <c r="AF255" s="197"/>
    </row>
    <row r="256" spans="2:32">
      <c r="T256" s="308"/>
      <c r="U256" s="308"/>
      <c r="V256" s="308"/>
      <c r="W256" s="308"/>
      <c r="X256" s="308"/>
      <c r="Y256" s="308"/>
      <c r="Z256" s="308"/>
      <c r="AA256" s="308"/>
      <c r="AB256" s="308"/>
      <c r="AC256" s="308"/>
      <c r="AD256" s="497"/>
      <c r="AE256" s="308"/>
      <c r="AF256" s="197"/>
    </row>
    <row r="257" spans="20:32">
      <c r="T257" s="308"/>
      <c r="U257" s="308"/>
      <c r="V257" s="308"/>
      <c r="W257" s="308"/>
      <c r="X257" s="308"/>
      <c r="Y257" s="308"/>
      <c r="Z257" s="308"/>
      <c r="AA257" s="308"/>
      <c r="AB257" s="308"/>
      <c r="AC257" s="308"/>
      <c r="AD257" s="497"/>
      <c r="AE257" s="308"/>
      <c r="AF257" s="197"/>
    </row>
    <row r="258" spans="20:32">
      <c r="T258" s="308"/>
      <c r="U258" s="308"/>
      <c r="V258" s="308"/>
      <c r="W258" s="308"/>
      <c r="X258" s="308"/>
      <c r="Y258" s="308"/>
      <c r="Z258" s="308"/>
      <c r="AA258" s="308"/>
      <c r="AB258" s="308"/>
      <c r="AC258" s="308"/>
      <c r="AD258" s="497"/>
      <c r="AE258" s="308"/>
      <c r="AF258" s="197"/>
    </row>
    <row r="259" spans="20:32">
      <c r="AB259" s="308"/>
      <c r="AC259" s="308"/>
    </row>
  </sheetData>
  <mergeCells count="200">
    <mergeCell ref="X77:X78"/>
    <mergeCell ref="Y77:Y78"/>
    <mergeCell ref="Z77:Z78"/>
    <mergeCell ref="AA80:AA81"/>
    <mergeCell ref="Z80:Z81"/>
    <mergeCell ref="Y80:Y81"/>
    <mergeCell ref="X80:X81"/>
    <mergeCell ref="W80:W81"/>
    <mergeCell ref="V80:V81"/>
    <mergeCell ref="V77:V79"/>
    <mergeCell ref="AA77:AA79"/>
    <mergeCell ref="W77:W78"/>
    <mergeCell ref="AM3:AM4"/>
    <mergeCell ref="AM5:AM7"/>
    <mergeCell ref="AH3:AH4"/>
    <mergeCell ref="AU13:AV14"/>
    <mergeCell ref="AP9:AP10"/>
    <mergeCell ref="AQ9:AQ10"/>
    <mergeCell ref="AR9:AR10"/>
    <mergeCell ref="AS9:AS10"/>
    <mergeCell ref="AT9:AT10"/>
    <mergeCell ref="AU9:AV10"/>
    <mergeCell ref="AP11:AP12"/>
    <mergeCell ref="AQ11:AQ12"/>
    <mergeCell ref="AR11:AR12"/>
    <mergeCell ref="AS11:AS12"/>
    <mergeCell ref="AT11:AT12"/>
    <mergeCell ref="AU11:AV12"/>
    <mergeCell ref="AR13:AR14"/>
    <mergeCell ref="AS13:AS14"/>
    <mergeCell ref="AQ13:AQ14"/>
    <mergeCell ref="AQ3:AQ4"/>
    <mergeCell ref="AR3:AR4"/>
    <mergeCell ref="AS3:AS4"/>
    <mergeCell ref="AU3:AV4"/>
    <mergeCell ref="AP5:AP6"/>
    <mergeCell ref="AQ5:AQ6"/>
    <mergeCell ref="AR5:AR6"/>
    <mergeCell ref="AS5:AS6"/>
    <mergeCell ref="AT5:AT6"/>
    <mergeCell ref="AU5:AU6"/>
    <mergeCell ref="AV5:AV8"/>
    <mergeCell ref="AP7:AP8"/>
    <mergeCell ref="AQ7:AQ8"/>
    <mergeCell ref="AR7:AR8"/>
    <mergeCell ref="AS7:AS8"/>
    <mergeCell ref="AT7:AT8"/>
    <mergeCell ref="AU7:AU8"/>
    <mergeCell ref="B10:D11"/>
    <mergeCell ref="E10:F11"/>
    <mergeCell ref="J10:L11"/>
    <mergeCell ref="R10:S11"/>
    <mergeCell ref="B6:C8"/>
    <mergeCell ref="D6:D8"/>
    <mergeCell ref="E6:F8"/>
    <mergeCell ref="J6:L8"/>
    <mergeCell ref="R6:S8"/>
    <mergeCell ref="AI3:AI4"/>
    <mergeCell ref="AJ3:AL4"/>
    <mergeCell ref="B3:C5"/>
    <mergeCell ref="D3:D5"/>
    <mergeCell ref="E3:F5"/>
    <mergeCell ref="J3:L5"/>
    <mergeCell ref="R3:S5"/>
    <mergeCell ref="V4:V5"/>
    <mergeCell ref="W4:W5"/>
    <mergeCell ref="X4:X6"/>
    <mergeCell ref="Y4:Y6"/>
    <mergeCell ref="Z4:Z6"/>
    <mergeCell ref="AA4:AA6"/>
    <mergeCell ref="AB4:AB6"/>
    <mergeCell ref="AC4:AC6"/>
    <mergeCell ref="B26:D27"/>
    <mergeCell ref="E26:F27"/>
    <mergeCell ref="J26:L27"/>
    <mergeCell ref="R26:S27"/>
    <mergeCell ref="B18:D19"/>
    <mergeCell ref="E18:F19"/>
    <mergeCell ref="J18:L19"/>
    <mergeCell ref="R18:S19"/>
    <mergeCell ref="V20:AC21"/>
    <mergeCell ref="V24:V25"/>
    <mergeCell ref="W24:W25"/>
    <mergeCell ref="X24:X25"/>
    <mergeCell ref="Y24:Y25"/>
    <mergeCell ref="Z24:Z25"/>
    <mergeCell ref="AC17:AC18"/>
    <mergeCell ref="W17:W18"/>
    <mergeCell ref="X17:X18"/>
    <mergeCell ref="Y17:Y18"/>
    <mergeCell ref="AA17:AA18"/>
    <mergeCell ref="AB17:AB18"/>
    <mergeCell ref="AA24:AA25"/>
    <mergeCell ref="AB24:AB25"/>
    <mergeCell ref="AC24:AC25"/>
    <mergeCell ref="Y42:Y45"/>
    <mergeCell ref="Z42:Z43"/>
    <mergeCell ref="AA42:AA43"/>
    <mergeCell ref="AB42:AB45"/>
    <mergeCell ref="AC42:AC45"/>
    <mergeCell ref="Z44:AA45"/>
    <mergeCell ref="B39:D40"/>
    <mergeCell ref="E39:F40"/>
    <mergeCell ref="J39:L40"/>
    <mergeCell ref="R39:S40"/>
    <mergeCell ref="V42:W45"/>
    <mergeCell ref="X42:X45"/>
    <mergeCell ref="AA48:AA49"/>
    <mergeCell ref="B56:D57"/>
    <mergeCell ref="E56:F57"/>
    <mergeCell ref="J56:L57"/>
    <mergeCell ref="R56:S57"/>
    <mergeCell ref="B48:D49"/>
    <mergeCell ref="E48:F49"/>
    <mergeCell ref="J48:L49"/>
    <mergeCell ref="R48:S49"/>
    <mergeCell ref="V48:V49"/>
    <mergeCell ref="X48:X49"/>
    <mergeCell ref="AM110:AM112"/>
    <mergeCell ref="B116:D117"/>
    <mergeCell ref="E116:F117"/>
    <mergeCell ref="J116:L117"/>
    <mergeCell ref="R116:S117"/>
    <mergeCell ref="AJ130:AL131"/>
    <mergeCell ref="B97:D98"/>
    <mergeCell ref="E97:F98"/>
    <mergeCell ref="J97:L98"/>
    <mergeCell ref="R97:S98"/>
    <mergeCell ref="AJ108:AL109"/>
    <mergeCell ref="B105:D106"/>
    <mergeCell ref="E105:F106"/>
    <mergeCell ref="J105:L106"/>
    <mergeCell ref="R105:S106"/>
    <mergeCell ref="AJ152:AL153"/>
    <mergeCell ref="AM154:AM156"/>
    <mergeCell ref="AJ174:AL175"/>
    <mergeCell ref="B175:D176"/>
    <mergeCell ref="E175:F176"/>
    <mergeCell ref="J175:L176"/>
    <mergeCell ref="R175:S176"/>
    <mergeCell ref="B128:D129"/>
    <mergeCell ref="E128:F129"/>
    <mergeCell ref="J128:L129"/>
    <mergeCell ref="R128:S129"/>
    <mergeCell ref="AM132:AM134"/>
    <mergeCell ref="B140:D141"/>
    <mergeCell ref="E140:F141"/>
    <mergeCell ref="J140:L141"/>
    <mergeCell ref="R140:S141"/>
    <mergeCell ref="AB48:AB49"/>
    <mergeCell ref="AB66:AB67"/>
    <mergeCell ref="B217:D218"/>
    <mergeCell ref="E217:F218"/>
    <mergeCell ref="J217:L218"/>
    <mergeCell ref="R217:S218"/>
    <mergeCell ref="B189:D190"/>
    <mergeCell ref="E189:F190"/>
    <mergeCell ref="J189:L190"/>
    <mergeCell ref="R189:S190"/>
    <mergeCell ref="B205:D206"/>
    <mergeCell ref="E205:F206"/>
    <mergeCell ref="J205:L206"/>
    <mergeCell ref="R205:S206"/>
    <mergeCell ref="Y66:Y67"/>
    <mergeCell ref="Z66:Z67"/>
    <mergeCell ref="AA66:AA67"/>
    <mergeCell ref="B79:D80"/>
    <mergeCell ref="E79:F80"/>
    <mergeCell ref="J79:L80"/>
    <mergeCell ref="R79:S80"/>
    <mergeCell ref="W48:W49"/>
    <mergeCell ref="Y48:Y49"/>
    <mergeCell ref="Z48:Z49"/>
    <mergeCell ref="AA75:AA76"/>
    <mergeCell ref="Z75:Z76"/>
    <mergeCell ref="Y75:Y76"/>
    <mergeCell ref="X75:X76"/>
    <mergeCell ref="W75:W76"/>
    <mergeCell ref="V75:V76"/>
    <mergeCell ref="V66:W67"/>
    <mergeCell ref="X66:X67"/>
    <mergeCell ref="AA73:AA74"/>
    <mergeCell ref="V70:AA71"/>
    <mergeCell ref="V73:V74"/>
    <mergeCell ref="W73:W74"/>
    <mergeCell ref="X73:X74"/>
    <mergeCell ref="Y73:Y74"/>
    <mergeCell ref="Z73:Z74"/>
    <mergeCell ref="T189:T190"/>
    <mergeCell ref="T191:T192"/>
    <mergeCell ref="T193:T194"/>
    <mergeCell ref="T195:T196"/>
    <mergeCell ref="T205:T206"/>
    <mergeCell ref="T207:T208"/>
    <mergeCell ref="T209:T210"/>
    <mergeCell ref="T211:T212"/>
    <mergeCell ref="V205:V206"/>
    <mergeCell ref="V207:V208"/>
    <mergeCell ref="V209:V210"/>
    <mergeCell ref="V211:V212"/>
  </mergeCells>
  <phoneticPr fontId="68" type="noConversion"/>
  <conditionalFormatting sqref="F226">
    <cfRule type="cellIs" dxfId="197" priority="36" operator="equal">
      <formula>"Pago"</formula>
    </cfRule>
  </conditionalFormatting>
  <conditionalFormatting sqref="V20:AC21">
    <cfRule type="cellIs" dxfId="196" priority="30" operator="greaterThan">
      <formula>0</formula>
    </cfRule>
    <cfRule type="cellIs" dxfId="195" priority="31" operator="lessThan">
      <formula>0</formula>
    </cfRule>
    <cfRule type="cellIs" dxfId="194" priority="32" operator="equal">
      <formula>0</formula>
    </cfRule>
  </conditionalFormatting>
  <conditionalFormatting sqref="AT5:AT12">
    <cfRule type="cellIs" dxfId="193" priority="29" operator="equal">
      <formula>"O"</formula>
    </cfRule>
  </conditionalFormatting>
  <conditionalFormatting sqref="AT5:AT12">
    <cfRule type="cellIs" dxfId="192" priority="28" operator="equal">
      <formula>"P"</formula>
    </cfRule>
  </conditionalFormatting>
  <conditionalFormatting sqref="AD8:AD11">
    <cfRule type="cellIs" dxfId="191" priority="24" operator="equal">
      <formula>"O"</formula>
    </cfRule>
    <cfRule type="cellIs" dxfId="190" priority="25" operator="equal">
      <formula>"P"</formula>
    </cfRule>
  </conditionalFormatting>
  <conditionalFormatting sqref="V72:AA72">
    <cfRule type="cellIs" dxfId="189" priority="22" operator="equal">
      <formula>"O"</formula>
    </cfRule>
    <cfRule type="cellIs" dxfId="188" priority="23" operator="equal">
      <formula>"p"</formula>
    </cfRule>
  </conditionalFormatting>
  <conditionalFormatting sqref="Z82:Z151">
    <cfRule type="cellIs" dxfId="187" priority="13" operator="equal">
      <formula>0</formula>
    </cfRule>
    <cfRule type="expression" dxfId="186" priority="14">
      <formula>COUNTIF($AL$154:$AL$173,Z82)=0</formula>
    </cfRule>
    <cfRule type="containsBlanks" priority="15">
      <formula>LEN(TRIM(Z82))=0</formula>
    </cfRule>
  </conditionalFormatting>
  <conditionalFormatting sqref="Y82:Y151">
    <cfRule type="containsBlanks" dxfId="185" priority="10">
      <formula>LEN(TRIM(Y82))=0</formula>
    </cfRule>
    <cfRule type="cellIs" dxfId="184" priority="11" operator="equal">
      <formula>0</formula>
    </cfRule>
    <cfRule type="expression" dxfId="183" priority="12">
      <formula>COUNTIF($AL$132:$AL$151,Y82)=0</formula>
    </cfRule>
  </conditionalFormatting>
  <conditionalFormatting sqref="X82">
    <cfRule type="containsBlanks" dxfId="182" priority="7">
      <formula>LEN(TRIM(X82))=0</formula>
    </cfRule>
    <cfRule type="cellIs" dxfId="181" priority="8" operator="equal">
      <formula>0</formula>
    </cfRule>
    <cfRule type="expression" dxfId="180" priority="9">
      <formula>COUNTIF($AL$110:$AL$129,X82)=0</formula>
    </cfRule>
  </conditionalFormatting>
  <conditionalFormatting sqref="W82:W151">
    <cfRule type="containsBlanks" dxfId="179" priority="4">
      <formula>LEN(TRIM(W82))=0</formula>
    </cfRule>
    <cfRule type="cellIs" dxfId="178" priority="5" operator="equal">
      <formula>0</formula>
    </cfRule>
    <cfRule type="expression" dxfId="177" priority="6">
      <formula>COUNTIF($AL$5:$AL$107,W82)=0</formula>
    </cfRule>
  </conditionalFormatting>
  <conditionalFormatting sqref="W79:Z79">
    <cfRule type="cellIs" dxfId="176" priority="1" operator="equal">
      <formula>"O"</formula>
    </cfRule>
    <cfRule type="cellIs" dxfId="175" priority="2" operator="equal">
      <formula>"p"</formula>
    </cfRule>
  </conditionalFormatting>
  <dataValidations count="5">
    <dataValidation type="list" allowBlank="1" showInputMessage="1" showErrorMessage="1" sqref="F12:F16 F219:F239 F58:F77 F142:F173 F99:F103 F20:F24 G35:I35 F41:F46 F50:F54 F28:F37 F130:F138 F118:F126 F207:F215 F107:F114 F177:F187 F81:F95 F191:F203" xr:uid="{F3DFC86C-A119-4988-A0BA-995E80C0C5AC}">
      <formula1>$BG$4:$BG$6</formula1>
    </dataValidation>
    <dataValidation type="list" allowBlank="1" showInputMessage="1" showErrorMessage="1" sqref="J12:J16 J191:J203 J142:J173 J58:J77 J99:J103 J28:J37 J41:J46 J50:J54 J134:J138 J81:J95 J118:J126 J207:J215 J20:J24 J107:J114 J177:J187 J130:J132 J219:J239" xr:uid="{2259817B-8992-4104-93B1-4BD098BC8854}">
      <formula1>$BE$4:$BE$7</formula1>
    </dataValidation>
    <dataValidation type="list" allowBlank="1" showInputMessage="1" showErrorMessage="1" sqref="K12:K16 K58:K77 K191:K203 K142:K173 K99:K103 K28:K37 K41:K46 K50:K54 K20:K24 K134:K138 K81:K95 K118:K126 K207:K215 K107:K114 K177:K187 K130:K132 K219:K239" xr:uid="{33CB16D6-F203-44A8-80C3-F48290BBCBC0}">
      <formula1>$BF$4:$BF$9</formula1>
    </dataValidation>
    <dataValidation type="list" allowBlank="1" showInputMessage="1" showErrorMessage="1" sqref="J133" xr:uid="{064DCBDB-32B8-4C16-A00D-6FF9770D27D9}">
      <formula1>$BA$4:$BA$7</formula1>
    </dataValidation>
    <dataValidation type="list" allowBlank="1" showInputMessage="1" showErrorMessage="1" sqref="K133" xr:uid="{B62D9187-DEE4-4E60-8ED9-80E709D0BF31}">
      <formula1>$BB$4:$BB$9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r:id="rId1"/>
  <ignoredErrors>
    <ignoredError sqref="Y12" evalError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>
    <tabColor rgb="FFFF0000"/>
  </sheetPr>
  <dimension ref="A1:BD260"/>
  <sheetViews>
    <sheetView showZeros="0" tabSelected="1" zoomScale="95" zoomScaleNormal="95" workbookViewId="0">
      <selection activeCell="B3" sqref="B3:C5"/>
    </sheetView>
  </sheetViews>
  <sheetFormatPr defaultColWidth="9.140625" defaultRowHeight="15"/>
  <cols>
    <col min="1" max="1" width="9.140625" style="13"/>
    <col min="2" max="2" width="11.28515625" style="13" bestFit="1" customWidth="1"/>
    <col min="3" max="3" width="9" style="13" customWidth="1"/>
    <col min="4" max="4" width="21.7109375" style="13" customWidth="1"/>
    <col min="5" max="5" width="10.7109375" style="13" customWidth="1"/>
    <col min="6" max="6" width="12.140625" style="13" customWidth="1"/>
    <col min="7" max="8" width="8.7109375" style="13" hidden="1" customWidth="1"/>
    <col min="9" max="9" width="11.7109375" style="13" hidden="1" customWidth="1"/>
    <col min="10" max="12" width="5.28515625" style="13" customWidth="1"/>
    <col min="13" max="13" width="9.28515625" style="13" customWidth="1"/>
    <col min="14" max="14" width="11.7109375" style="13" bestFit="1" customWidth="1"/>
    <col min="15" max="15" width="9.140625" style="13"/>
    <col min="16" max="16" width="12.42578125" style="13" customWidth="1"/>
    <col min="17" max="18" width="12.140625" style="13" customWidth="1"/>
    <col min="19" max="19" width="13.140625" style="13" customWidth="1"/>
    <col min="20" max="22" width="12.140625" style="13" customWidth="1"/>
    <col min="23" max="23" width="12.85546875" style="13" customWidth="1"/>
    <col min="24" max="24" width="11.28515625" style="13" bestFit="1" customWidth="1"/>
    <col min="25" max="26" width="7.85546875" style="13" hidden="1" customWidth="1"/>
    <col min="27" max="27" width="4" style="13" customWidth="1"/>
    <col min="28" max="28" width="11" style="13" bestFit="1" customWidth="1"/>
    <col min="29" max="29" width="8.7109375" style="3" customWidth="1"/>
    <col min="30" max="30" width="30.85546875" style="14" customWidth="1"/>
    <col min="31" max="31" width="12.7109375" style="15" customWidth="1"/>
    <col min="32" max="32" width="10.28515625" style="16" customWidth="1"/>
    <col min="33" max="33" width="4.140625" style="13" customWidth="1"/>
    <col min="34" max="34" width="9.140625" style="17" customWidth="1"/>
    <col min="35" max="37" width="16.5703125" style="17" customWidth="1"/>
    <col min="38" max="38" width="6.7109375" style="5" customWidth="1"/>
    <col min="39" max="40" width="13.7109375" style="5" customWidth="1"/>
    <col min="41" max="52" width="9.140625" style="5"/>
    <col min="53" max="53" width="9.140625" style="18"/>
    <col min="54" max="55" width="9.140625" style="3"/>
    <col min="56" max="16384" width="9.140625" style="308"/>
  </cols>
  <sheetData>
    <row r="1" spans="2:56" ht="15" customHeight="1">
      <c r="B1" s="308"/>
      <c r="C1" s="308"/>
      <c r="D1" s="308"/>
      <c r="E1" s="308"/>
      <c r="F1" s="308"/>
      <c r="G1" s="308"/>
      <c r="H1" s="308"/>
      <c r="I1" s="308"/>
      <c r="J1" s="308"/>
      <c r="K1" s="308"/>
      <c r="L1" s="308"/>
      <c r="M1" s="311"/>
      <c r="N1" s="308"/>
      <c r="O1" s="308"/>
      <c r="P1" s="308"/>
      <c r="Q1" s="308"/>
      <c r="R1" s="308"/>
      <c r="S1" s="308"/>
      <c r="T1" s="308"/>
      <c r="U1" s="308"/>
      <c r="V1" s="308"/>
      <c r="W1" s="308"/>
      <c r="X1" s="308"/>
      <c r="Y1" s="197"/>
    </row>
    <row r="2" spans="2:56" ht="15" customHeight="1">
      <c r="B2" s="308"/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11"/>
      <c r="N2" s="308"/>
      <c r="O2" s="308"/>
      <c r="P2" s="308"/>
      <c r="Q2" s="308"/>
      <c r="R2" s="308"/>
      <c r="S2" s="334"/>
      <c r="T2" s="334"/>
      <c r="U2" s="334"/>
      <c r="V2" s="334"/>
      <c r="W2" s="334"/>
      <c r="X2" s="6"/>
      <c r="Y2" s="197"/>
    </row>
    <row r="3" spans="2:56" ht="15" customHeight="1">
      <c r="B3" s="603" t="s">
        <v>294</v>
      </c>
      <c r="C3" s="604"/>
      <c r="D3" s="725" t="s">
        <v>292</v>
      </c>
      <c r="E3" s="612" t="s">
        <v>293</v>
      </c>
      <c r="F3" s="613"/>
      <c r="G3" s="325"/>
      <c r="H3" s="326"/>
      <c r="I3" s="327"/>
      <c r="J3" s="614" t="s">
        <v>87</v>
      </c>
      <c r="K3" s="615"/>
      <c r="L3" s="616"/>
      <c r="M3" s="623" t="s">
        <v>295</v>
      </c>
      <c r="N3" s="624"/>
      <c r="O3" s="308"/>
      <c r="R3" s="308"/>
      <c r="X3" s="6"/>
      <c r="Y3" s="197"/>
      <c r="AA3" s="681" t="s">
        <v>164</v>
      </c>
      <c r="AB3" s="599" t="s">
        <v>81</v>
      </c>
      <c r="AC3" s="601" t="s">
        <v>35</v>
      </c>
      <c r="AD3" s="601"/>
      <c r="AE3" s="601"/>
      <c r="AF3" s="599" t="s">
        <v>43</v>
      </c>
      <c r="AI3" s="599" t="s">
        <v>361</v>
      </c>
      <c r="AJ3" s="599" t="s">
        <v>386</v>
      </c>
      <c r="AK3" s="599" t="s">
        <v>387</v>
      </c>
      <c r="AM3" s="593" t="s">
        <v>362</v>
      </c>
      <c r="AN3" s="591"/>
      <c r="AY3" s="370"/>
      <c r="AZ3" s="371"/>
      <c r="BA3" s="372"/>
      <c r="BB3" s="373"/>
      <c r="BC3" s="373"/>
      <c r="BD3" s="374"/>
    </row>
    <row r="4" spans="2:56" ht="15" customHeight="1">
      <c r="B4" s="605"/>
      <c r="C4" s="606"/>
      <c r="D4" s="726"/>
      <c r="E4" s="612"/>
      <c r="F4" s="613"/>
      <c r="G4" s="328"/>
      <c r="H4" s="329"/>
      <c r="I4" s="330"/>
      <c r="J4" s="617"/>
      <c r="K4" s="618"/>
      <c r="L4" s="619"/>
      <c r="M4" s="625"/>
      <c r="N4" s="626"/>
      <c r="O4" s="308"/>
      <c r="P4" s="706" t="s">
        <v>134</v>
      </c>
      <c r="Q4" s="728" t="s">
        <v>378</v>
      </c>
      <c r="R4" s="633" t="s">
        <v>134</v>
      </c>
      <c r="S4" s="634" t="s">
        <v>302</v>
      </c>
      <c r="T4" s="706" t="s">
        <v>304</v>
      </c>
      <c r="U4" s="712" t="s">
        <v>377</v>
      </c>
      <c r="V4" s="633" t="s">
        <v>32</v>
      </c>
      <c r="W4" s="634" t="s">
        <v>303</v>
      </c>
      <c r="X4" s="6"/>
      <c r="Y4" s="198"/>
      <c r="Z4" s="25"/>
      <c r="AA4" s="682"/>
      <c r="AB4" s="600"/>
      <c r="AC4" s="602"/>
      <c r="AD4" s="602"/>
      <c r="AE4" s="602"/>
      <c r="AF4" s="680"/>
      <c r="AI4" s="689"/>
      <c r="AJ4" s="689"/>
      <c r="AK4" s="689"/>
      <c r="AM4" s="690"/>
      <c r="AN4" s="691"/>
      <c r="AY4" s="375"/>
      <c r="AZ4" s="57"/>
      <c r="BA4" s="24"/>
      <c r="BB4" s="6"/>
      <c r="BC4" s="6"/>
      <c r="BD4" s="376"/>
    </row>
    <row r="5" spans="2:56" ht="15" customHeight="1">
      <c r="B5" s="607"/>
      <c r="C5" s="608"/>
      <c r="D5" s="727"/>
      <c r="E5" s="612"/>
      <c r="F5" s="613"/>
      <c r="G5" s="328"/>
      <c r="H5" s="329"/>
      <c r="I5" s="330"/>
      <c r="J5" s="620"/>
      <c r="K5" s="621"/>
      <c r="L5" s="622"/>
      <c r="M5" s="627"/>
      <c r="N5" s="628"/>
      <c r="O5" s="308"/>
      <c r="P5" s="707"/>
      <c r="Q5" s="729"/>
      <c r="R5" s="535"/>
      <c r="S5" s="636"/>
      <c r="T5" s="707"/>
      <c r="U5" s="713"/>
      <c r="V5" s="535"/>
      <c r="W5" s="636"/>
      <c r="X5" s="6"/>
      <c r="Y5" s="199" t="str">
        <f t="shared" ref="Y5:Y36" si="0">IFERROR(VLOOKUP(Z5,$G$12:$G$243,1,0),"")</f>
        <v/>
      </c>
      <c r="Z5" s="319" t="str">
        <f>IF(AE5="","",AC5+AE5)</f>
        <v/>
      </c>
      <c r="AA5" s="114" t="str">
        <f>IF(AND(Y5="",Z5=""),"",IF(Y5=Z5,"P",IF(Y5&lt;&gt;Z5,"O")))</f>
        <v/>
      </c>
      <c r="AB5" s="117" t="str">
        <f t="shared" ref="AB5:AB36" si="1">IF(Z5="","",IFERROR(VLOOKUP(Z5,$H$12:$I$243,2,0),""))</f>
        <v/>
      </c>
      <c r="AC5" s="313"/>
      <c r="AD5" s="213"/>
      <c r="AE5" s="315"/>
      <c r="AF5" s="568" t="s">
        <v>90</v>
      </c>
      <c r="AH5" s="677" t="s">
        <v>90</v>
      </c>
      <c r="AI5" s="669">
        <f>AC108</f>
        <v>6185.2099999999991</v>
      </c>
      <c r="AJ5" s="671">
        <f>76.9+0.16+0.01</f>
        <v>77.070000000000007</v>
      </c>
      <c r="AK5" s="671">
        <f>AI5-AJ5</f>
        <v>6108.1399999999994</v>
      </c>
      <c r="AL5" s="698" t="str">
        <f>IF(AK5=AM5,"P","O")</f>
        <v>P</v>
      </c>
      <c r="AM5" s="674">
        <f>AN5-AM7</f>
        <v>6108.14</v>
      </c>
      <c r="AN5" s="675">
        <v>6460.14</v>
      </c>
      <c r="AY5" s="375"/>
      <c r="AZ5" s="24" t="s">
        <v>88</v>
      </c>
      <c r="BA5" s="369" t="s">
        <v>89</v>
      </c>
      <c r="BB5" s="377" t="s">
        <v>118</v>
      </c>
      <c r="BC5" s="12" t="s">
        <v>135</v>
      </c>
      <c r="BD5" s="376"/>
    </row>
    <row r="6" spans="2:56" ht="15" customHeight="1">
      <c r="B6" s="551">
        <f>SUM(E10,E18,E26,E39,E48,E56,E83,E101,E109,E120,E132,E144,E179,E193,E209,E221)</f>
        <v>2317</v>
      </c>
      <c r="C6" s="641"/>
      <c r="D6" s="649">
        <f>SUM(J10,J18,J26,J39,J48,J56,J83,J101,J109,J120,J132,J144,J179,J193,J209,J221)</f>
        <v>12269.189999999999</v>
      </c>
      <c r="E6" s="652">
        <f>SUM(B6:D6)</f>
        <v>14586.189999999999</v>
      </c>
      <c r="F6" s="653"/>
      <c r="G6" s="331"/>
      <c r="H6" s="332"/>
      <c r="I6" s="333"/>
      <c r="J6" s="654">
        <f>R42</f>
        <v>251.5</v>
      </c>
      <c r="K6" s="655"/>
      <c r="L6" s="656"/>
      <c r="M6" s="663">
        <f>SUM(E6,J6)</f>
        <v>14837.689999999999</v>
      </c>
      <c r="N6" s="664"/>
      <c r="O6" s="308"/>
      <c r="P6" s="416" t="s">
        <v>96</v>
      </c>
      <c r="Q6" s="427">
        <v>118.33</v>
      </c>
      <c r="R6" s="394"/>
      <c r="S6" s="444"/>
      <c r="T6" s="514" t="s">
        <v>97</v>
      </c>
      <c r="U6" s="399">
        <f>SUMIFS(E12:E260,K12:K260,"AV")</f>
        <v>2317</v>
      </c>
      <c r="V6" s="394">
        <f>SUMIFS(N12:N260,K12:K260,"AV")</f>
        <v>4671.13</v>
      </c>
      <c r="W6" s="390">
        <f t="shared" ref="W6:W10" si="2">SUM(U6:V6)</f>
        <v>6988.13</v>
      </c>
      <c r="X6" s="6"/>
      <c r="Y6" s="200" t="str">
        <f t="shared" si="0"/>
        <v/>
      </c>
      <c r="Z6" s="320" t="str">
        <f t="shared" ref="Z6:Z69" si="3">IF(AE6="","",AC6+AE6)</f>
        <v/>
      </c>
      <c r="AA6" s="33" t="str">
        <f t="shared" ref="AA6:AA69" si="4">IF(AND(Y6="",Z6=""),"",IF(Y6=Z6,"P",IF(Y6&lt;&gt;Z6,"O")))</f>
        <v/>
      </c>
      <c r="AB6" s="99" t="str">
        <f t="shared" si="1"/>
        <v/>
      </c>
      <c r="AC6" s="313"/>
      <c r="AD6" s="42"/>
      <c r="AE6" s="315"/>
      <c r="AF6" s="569"/>
      <c r="AH6" s="692"/>
      <c r="AI6" s="670"/>
      <c r="AJ6" s="672"/>
      <c r="AK6" s="672"/>
      <c r="AL6" s="698"/>
      <c r="AM6" s="674"/>
      <c r="AN6" s="676"/>
      <c r="AY6" s="375"/>
      <c r="AZ6" s="24" t="s">
        <v>93</v>
      </c>
      <c r="BA6" s="369" t="s">
        <v>94</v>
      </c>
      <c r="BB6" s="377" t="s">
        <v>90</v>
      </c>
      <c r="BC6" s="12" t="s">
        <v>2</v>
      </c>
      <c r="BD6" s="376"/>
    </row>
    <row r="7" spans="2:56" ht="15" customHeight="1">
      <c r="B7" s="645"/>
      <c r="C7" s="646"/>
      <c r="D7" s="650"/>
      <c r="E7" s="652"/>
      <c r="F7" s="653"/>
      <c r="G7" s="331"/>
      <c r="H7" s="332"/>
      <c r="I7" s="333"/>
      <c r="J7" s="657"/>
      <c r="K7" s="658"/>
      <c r="L7" s="659"/>
      <c r="M7" s="665"/>
      <c r="N7" s="666"/>
      <c r="O7" s="308"/>
      <c r="P7" s="417" t="s">
        <v>41</v>
      </c>
      <c r="Q7" s="400"/>
      <c r="R7" s="394">
        <v>7539.93</v>
      </c>
      <c r="S7" s="393">
        <f t="shared" ref="S7:S16" si="5">SUM(Q7:R7)</f>
        <v>7539.93</v>
      </c>
      <c r="T7" s="411" t="s">
        <v>100</v>
      </c>
      <c r="U7" s="400">
        <f>SUMIFS(E12:E260,K12:K260,"IT")</f>
        <v>0</v>
      </c>
      <c r="V7" s="394">
        <f>SUMIFS(N12:N260,K12:K260,"IT")-77.07</f>
        <v>6108.1399999999985</v>
      </c>
      <c r="W7" s="393">
        <f t="shared" si="2"/>
        <v>6108.1399999999985</v>
      </c>
      <c r="X7" s="6"/>
      <c r="Y7" s="200" t="str">
        <f t="shared" si="0"/>
        <v/>
      </c>
      <c r="Z7" s="320" t="str">
        <f t="shared" si="3"/>
        <v/>
      </c>
      <c r="AA7" s="33" t="str">
        <f t="shared" si="4"/>
        <v/>
      </c>
      <c r="AB7" s="99" t="str">
        <f t="shared" si="1"/>
        <v/>
      </c>
      <c r="AC7" s="313"/>
      <c r="AD7" s="42"/>
      <c r="AE7" s="315"/>
      <c r="AF7" s="569"/>
      <c r="AH7" s="677" t="s">
        <v>95</v>
      </c>
      <c r="AI7" s="669">
        <f>AC130</f>
        <v>352</v>
      </c>
      <c r="AJ7" s="671"/>
      <c r="AK7" s="671">
        <f t="shared" ref="AK7" si="6">AI7-AJ7</f>
        <v>352</v>
      </c>
      <c r="AL7" s="698" t="str">
        <f>IF(AK7=AM7,"P","O")</f>
        <v>P</v>
      </c>
      <c r="AM7" s="674">
        <v>352</v>
      </c>
      <c r="AN7" s="676"/>
      <c r="AY7" s="375"/>
      <c r="AZ7" s="57"/>
      <c r="BA7" s="369" t="s">
        <v>98</v>
      </c>
      <c r="BB7" s="377" t="s">
        <v>95</v>
      </c>
      <c r="BC7" s="6"/>
      <c r="BD7" s="376"/>
    </row>
    <row r="8" spans="2:56" ht="15" customHeight="1">
      <c r="B8" s="647"/>
      <c r="C8" s="648"/>
      <c r="D8" s="651"/>
      <c r="E8" s="652"/>
      <c r="F8" s="653"/>
      <c r="G8" s="331"/>
      <c r="H8" s="332"/>
      <c r="I8" s="333"/>
      <c r="J8" s="660"/>
      <c r="K8" s="661"/>
      <c r="L8" s="662"/>
      <c r="M8" s="667"/>
      <c r="N8" s="668"/>
      <c r="O8" s="308"/>
      <c r="P8" s="417" t="s">
        <v>101</v>
      </c>
      <c r="Q8" s="400"/>
      <c r="R8" s="394">
        <v>1800</v>
      </c>
      <c r="S8" s="393">
        <f t="shared" si="5"/>
        <v>1800</v>
      </c>
      <c r="T8" s="411" t="s">
        <v>102</v>
      </c>
      <c r="U8" s="400">
        <f>SUMIFS(E12:E260,K12:K260,"IT2")</f>
        <v>0</v>
      </c>
      <c r="V8" s="394">
        <f>SUMIFS(N12:N260,K12:K260,"IT2")</f>
        <v>352</v>
      </c>
      <c r="W8" s="393">
        <f t="shared" si="2"/>
        <v>352</v>
      </c>
      <c r="X8" s="24"/>
      <c r="Y8" s="200" t="str">
        <f t="shared" si="0"/>
        <v/>
      </c>
      <c r="Z8" s="320" t="str">
        <f t="shared" si="3"/>
        <v/>
      </c>
      <c r="AA8" s="33" t="str">
        <f t="shared" si="4"/>
        <v/>
      </c>
      <c r="AB8" s="99" t="str">
        <f t="shared" si="1"/>
        <v/>
      </c>
      <c r="AC8" s="313"/>
      <c r="AD8" s="42"/>
      <c r="AE8" s="315"/>
      <c r="AF8" s="48"/>
      <c r="AH8" s="678"/>
      <c r="AI8" s="679"/>
      <c r="AJ8" s="672"/>
      <c r="AK8" s="672"/>
      <c r="AL8" s="698"/>
      <c r="AM8" s="674"/>
      <c r="AN8" s="676"/>
      <c r="AY8" s="375"/>
      <c r="AZ8" s="57"/>
      <c r="BA8" s="24"/>
      <c r="BB8" s="377" t="s">
        <v>99</v>
      </c>
      <c r="BC8" s="6"/>
      <c r="BD8" s="376"/>
    </row>
    <row r="9" spans="2:56" ht="15" customHeight="1">
      <c r="B9" s="308"/>
      <c r="C9" s="308"/>
      <c r="D9" s="308"/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417" t="s">
        <v>103</v>
      </c>
      <c r="Q9" s="400">
        <v>1620</v>
      </c>
      <c r="R9" s="394"/>
      <c r="S9" s="393">
        <f t="shared" si="5"/>
        <v>1620</v>
      </c>
      <c r="T9" s="411" t="s">
        <v>104</v>
      </c>
      <c r="U9" s="400">
        <f>SUMIFS(E12:E260,K12:K260,"ITP")</f>
        <v>0</v>
      </c>
      <c r="V9" s="394">
        <f>SUMIFS(N12:N260,K12:K260,"ITP")</f>
        <v>582.16000000000008</v>
      </c>
      <c r="W9" s="393">
        <f t="shared" si="2"/>
        <v>582.16000000000008</v>
      </c>
      <c r="X9" s="24"/>
      <c r="Y9" s="200" t="str">
        <f t="shared" si="0"/>
        <v/>
      </c>
      <c r="Z9" s="320" t="str">
        <f t="shared" si="3"/>
        <v/>
      </c>
      <c r="AA9" s="33" t="str">
        <f t="shared" si="4"/>
        <v/>
      </c>
      <c r="AB9" s="99" t="str">
        <f t="shared" si="1"/>
        <v/>
      </c>
      <c r="AC9" s="313"/>
      <c r="AD9" s="42"/>
      <c r="AE9" s="315"/>
      <c r="AF9" s="48"/>
      <c r="AH9" s="677" t="s">
        <v>114</v>
      </c>
      <c r="AI9" s="669">
        <f>AC152</f>
        <v>582.16000000000008</v>
      </c>
      <c r="AJ9" s="671"/>
      <c r="AK9" s="671">
        <f t="shared" ref="AK9" si="7">AI9-AJ9</f>
        <v>582.16000000000008</v>
      </c>
      <c r="AL9" s="698" t="str">
        <f>IF(AK9=AM9,"P","O")</f>
        <v>P</v>
      </c>
      <c r="AM9" s="674">
        <v>582.16</v>
      </c>
      <c r="AN9" s="674"/>
      <c r="AY9" s="375"/>
      <c r="AZ9" s="57"/>
      <c r="BA9" s="24"/>
      <c r="BB9" s="377" t="s">
        <v>8</v>
      </c>
      <c r="BC9" s="6"/>
      <c r="BD9" s="376"/>
    </row>
    <row r="10" spans="2:56" ht="15" customHeight="1">
      <c r="B10" s="545" t="s">
        <v>234</v>
      </c>
      <c r="C10" s="546"/>
      <c r="D10" s="547"/>
      <c r="E10" s="551">
        <f>SUM(E12:E16)</f>
        <v>0</v>
      </c>
      <c r="F10" s="641"/>
      <c r="G10" s="322"/>
      <c r="H10" s="220"/>
      <c r="I10" s="206"/>
      <c r="J10" s="718">
        <f>SUM(N12:N16)</f>
        <v>3369.54</v>
      </c>
      <c r="K10" s="699"/>
      <c r="L10" s="700"/>
      <c r="M10" s="559">
        <f>SUM(E10,J10)</f>
        <v>3369.54</v>
      </c>
      <c r="N10" s="560"/>
      <c r="O10" s="308"/>
      <c r="P10" s="417" t="s">
        <v>105</v>
      </c>
      <c r="Q10" s="400"/>
      <c r="R10" s="394">
        <v>500</v>
      </c>
      <c r="S10" s="393">
        <f t="shared" si="5"/>
        <v>500</v>
      </c>
      <c r="T10" s="411" t="s">
        <v>30</v>
      </c>
      <c r="U10" s="400">
        <f>SUMIFS(E12:E260,K12:K260,"C6")</f>
        <v>0</v>
      </c>
      <c r="V10" s="394">
        <f>SUMIFS(N12:N260,K12:K260,"C6")</f>
        <v>1709.79</v>
      </c>
      <c r="W10" s="393">
        <f t="shared" si="2"/>
        <v>1709.79</v>
      </c>
      <c r="X10" s="24"/>
      <c r="Y10" s="200" t="str">
        <f t="shared" si="0"/>
        <v/>
      </c>
      <c r="Z10" s="320" t="str">
        <f t="shared" si="3"/>
        <v/>
      </c>
      <c r="AA10" s="33" t="str">
        <f t="shared" si="4"/>
        <v/>
      </c>
      <c r="AB10" s="99" t="str">
        <f t="shared" si="1"/>
        <v/>
      </c>
      <c r="AC10" s="313"/>
      <c r="AD10" s="42"/>
      <c r="AE10" s="315"/>
      <c r="AF10" s="48"/>
      <c r="AH10" s="678"/>
      <c r="AI10" s="679"/>
      <c r="AJ10" s="672"/>
      <c r="AK10" s="672"/>
      <c r="AL10" s="698"/>
      <c r="AM10" s="674"/>
      <c r="AN10" s="674"/>
      <c r="AY10" s="375"/>
      <c r="AZ10" s="308"/>
      <c r="BA10" s="308"/>
      <c r="BB10" s="308"/>
      <c r="BC10" s="308"/>
      <c r="BD10" s="376"/>
    </row>
    <row r="11" spans="2:56" ht="15" customHeight="1">
      <c r="B11" s="548"/>
      <c r="C11" s="549"/>
      <c r="D11" s="550"/>
      <c r="E11" s="553"/>
      <c r="F11" s="642"/>
      <c r="G11" s="323"/>
      <c r="H11" s="222"/>
      <c r="I11" s="208"/>
      <c r="J11" s="719"/>
      <c r="K11" s="701"/>
      <c r="L11" s="702"/>
      <c r="M11" s="561"/>
      <c r="N11" s="562"/>
      <c r="O11" s="308"/>
      <c r="P11" s="417" t="s">
        <v>107</v>
      </c>
      <c r="Q11" s="401"/>
      <c r="R11" s="394">
        <v>1000</v>
      </c>
      <c r="S11" s="393">
        <f t="shared" si="5"/>
        <v>1000</v>
      </c>
      <c r="T11" s="411" t="s">
        <v>33</v>
      </c>
      <c r="U11" s="400">
        <f>SUM(R26:R41)</f>
        <v>251.5</v>
      </c>
      <c r="V11" s="394">
        <f>SUMIFS(N12:N260,K12:K260,"C6")</f>
        <v>1709.79</v>
      </c>
      <c r="W11" s="393">
        <f>SUM(U11:V11)</f>
        <v>1961.29</v>
      </c>
      <c r="X11" s="324"/>
      <c r="Y11" s="200" t="str">
        <f t="shared" si="0"/>
        <v/>
      </c>
      <c r="Z11" s="320" t="str">
        <f t="shared" si="3"/>
        <v/>
      </c>
      <c r="AA11" s="33" t="str">
        <f t="shared" si="4"/>
        <v/>
      </c>
      <c r="AB11" s="99" t="str">
        <f t="shared" si="1"/>
        <v/>
      </c>
      <c r="AC11" s="313"/>
      <c r="AD11" s="42"/>
      <c r="AE11" s="315"/>
      <c r="AF11" s="48"/>
      <c r="AH11" s="677" t="s">
        <v>8</v>
      </c>
      <c r="AI11" s="669">
        <f>AC174</f>
        <v>1825.5600000000002</v>
      </c>
      <c r="AJ11" s="671"/>
      <c r="AK11" s="671">
        <f t="shared" ref="AK11" si="8">AI11-AJ11</f>
        <v>1825.5600000000002</v>
      </c>
      <c r="AL11" s="698" t="str">
        <f>IF(AK11=AM11,"P","O")</f>
        <v>P</v>
      </c>
      <c r="AM11" s="687">
        <v>1825.56</v>
      </c>
      <c r="AN11" s="687"/>
      <c r="AY11" s="378"/>
      <c r="AZ11" s="379"/>
      <c r="BA11" s="380"/>
      <c r="BB11" s="381"/>
      <c r="BC11" s="381"/>
      <c r="BD11" s="382"/>
    </row>
    <row r="12" spans="2:56" ht="15" customHeight="1">
      <c r="B12" s="337">
        <v>551.01</v>
      </c>
      <c r="C12" s="191">
        <v>46249</v>
      </c>
      <c r="D12" s="56" t="s">
        <v>138</v>
      </c>
      <c r="E12" s="58" t="str">
        <f>IF(OR(B12="",F12="Pago"),"",B12)</f>
        <v/>
      </c>
      <c r="F12" s="351" t="s">
        <v>2</v>
      </c>
      <c r="G12" s="341">
        <f t="shared" ref="G12:G16" si="9">IF(B12="","",B12+C12)</f>
        <v>46800.01</v>
      </c>
      <c r="H12" s="342" t="str">
        <f>IFERROR(VLOOKUP(G12,$Z$5:$Z$174,1,0),"")</f>
        <v/>
      </c>
      <c r="I12" s="341" t="str">
        <f>IF(OR(G12&lt;&gt;"",H12&lt;&gt;""),"FIXOS","")</f>
        <v>FIXOS</v>
      </c>
      <c r="J12" s="386" t="s">
        <v>94</v>
      </c>
      <c r="K12" s="385" t="s">
        <v>118</v>
      </c>
      <c r="L12" s="384" t="str">
        <f t="shared" ref="L12:L16" si="10">IF(K12="AV","8",IF(AND(G12="",H12=""),"",IF(G12=H12,"P",IF(G12&lt;&gt;H12,"O"))))</f>
        <v>8</v>
      </c>
      <c r="M12" s="365"/>
      <c r="N12" s="347">
        <f>IF(F12="Pago",B12,"")</f>
        <v>551.01</v>
      </c>
      <c r="O12" s="308"/>
      <c r="P12" s="418" t="s">
        <v>5</v>
      </c>
      <c r="Q12" s="401"/>
      <c r="R12" s="394"/>
      <c r="S12" s="393">
        <f t="shared" si="5"/>
        <v>0</v>
      </c>
      <c r="T12" s="515"/>
      <c r="U12" s="402"/>
      <c r="V12" s="394"/>
      <c r="W12" s="393">
        <f t="shared" ref="W12:W16" si="11">SUM(U12:V12)</f>
        <v>0</v>
      </c>
      <c r="X12" s="24"/>
      <c r="Y12" s="200" t="str">
        <f t="shared" si="0"/>
        <v/>
      </c>
      <c r="Z12" s="320" t="str">
        <f t="shared" si="3"/>
        <v/>
      </c>
      <c r="AA12" s="33" t="str">
        <f t="shared" si="4"/>
        <v/>
      </c>
      <c r="AB12" s="99" t="str">
        <f t="shared" si="1"/>
        <v/>
      </c>
      <c r="AC12" s="313"/>
      <c r="AD12" s="42"/>
      <c r="AE12" s="315"/>
      <c r="AF12" s="48"/>
      <c r="AH12" s="678"/>
      <c r="AI12" s="670"/>
      <c r="AJ12" s="672"/>
      <c r="AK12" s="672"/>
      <c r="AL12" s="698"/>
      <c r="AM12" s="687"/>
      <c r="AN12" s="687"/>
    </row>
    <row r="13" spans="2:56" ht="15" customHeight="1">
      <c r="B13" s="337">
        <v>41.19</v>
      </c>
      <c r="C13" s="191">
        <v>46254</v>
      </c>
      <c r="D13" s="56" t="s">
        <v>139</v>
      </c>
      <c r="E13" s="58" t="str">
        <f>IF(OR(B13="",F13="Pago"),"",B13)</f>
        <v/>
      </c>
      <c r="F13" s="351" t="s">
        <v>2</v>
      </c>
      <c r="G13" s="343">
        <f t="shared" si="9"/>
        <v>46295.19</v>
      </c>
      <c r="H13" s="344" t="str">
        <f>IFERROR(VLOOKUP(G13,$Z$5:$Z$174,1,0),"")</f>
        <v/>
      </c>
      <c r="I13" s="343" t="str">
        <f t="shared" ref="I13:I49" si="12">IF(OR(G13&lt;&gt;"",H13&lt;&gt;""),"FIXOS","")</f>
        <v>FIXOS</v>
      </c>
      <c r="J13" s="387" t="s">
        <v>94</v>
      </c>
      <c r="K13" s="351" t="s">
        <v>118</v>
      </c>
      <c r="L13" s="384" t="str">
        <f t="shared" si="10"/>
        <v>8</v>
      </c>
      <c r="M13" s="365"/>
      <c r="N13" s="348">
        <f>IF(F13="Pago",B13,"")</f>
        <v>41.19</v>
      </c>
      <c r="O13" s="308"/>
      <c r="P13" s="418" t="s">
        <v>10</v>
      </c>
      <c r="Q13" s="401"/>
      <c r="R13" s="394">
        <v>1337</v>
      </c>
      <c r="S13" s="393">
        <f t="shared" si="5"/>
        <v>1337</v>
      </c>
      <c r="T13" s="412"/>
      <c r="U13" s="402"/>
      <c r="V13" s="394"/>
      <c r="W13" s="393">
        <f t="shared" si="11"/>
        <v>0</v>
      </c>
      <c r="X13" s="24"/>
      <c r="Y13" s="200" t="str">
        <f t="shared" si="0"/>
        <v/>
      </c>
      <c r="Z13" s="320" t="str">
        <f t="shared" si="3"/>
        <v/>
      </c>
      <c r="AA13" s="33" t="str">
        <f t="shared" si="4"/>
        <v/>
      </c>
      <c r="AB13" s="99" t="str">
        <f t="shared" si="1"/>
        <v/>
      </c>
      <c r="AC13" s="313"/>
      <c r="AD13" s="1"/>
      <c r="AE13" s="315"/>
      <c r="AF13" s="48"/>
      <c r="AH13" s="13"/>
      <c r="AI13" s="600">
        <f>SUM(AI5:AI12)</f>
        <v>8944.9299999999985</v>
      </c>
      <c r="AJ13" s="688">
        <f>SUM(AJ5:AJ12)</f>
        <v>77.070000000000007</v>
      </c>
      <c r="AK13" s="688">
        <f>AI13-AJ13</f>
        <v>8867.8599999999988</v>
      </c>
      <c r="AM13" s="683">
        <f>SUM(AM5:AM12)</f>
        <v>8867.86</v>
      </c>
      <c r="AN13" s="684"/>
    </row>
    <row r="14" spans="2:56" ht="15" customHeight="1">
      <c r="B14" s="337">
        <v>349.78</v>
      </c>
      <c r="C14" s="191">
        <v>46262</v>
      </c>
      <c r="D14" s="56" t="s">
        <v>140</v>
      </c>
      <c r="E14" s="58" t="str">
        <f>IF(OR(B14="",F14="Pago"),"",B14)</f>
        <v/>
      </c>
      <c r="F14" s="351" t="s">
        <v>2</v>
      </c>
      <c r="G14" s="343">
        <f t="shared" si="9"/>
        <v>46611.78</v>
      </c>
      <c r="H14" s="344" t="str">
        <f>IFERROR(VLOOKUP(G14,$Z$5:$Z$174,1,0),"")</f>
        <v/>
      </c>
      <c r="I14" s="343" t="str">
        <f t="shared" si="12"/>
        <v>FIXOS</v>
      </c>
      <c r="J14" s="387" t="s">
        <v>94</v>
      </c>
      <c r="K14" s="351" t="s">
        <v>118</v>
      </c>
      <c r="L14" s="384" t="str">
        <f t="shared" si="10"/>
        <v>8</v>
      </c>
      <c r="M14" s="365"/>
      <c r="N14" s="348">
        <f>IF(F14="Pago",B14,"")</f>
        <v>349.78</v>
      </c>
      <c r="O14" s="308"/>
      <c r="P14" s="419"/>
      <c r="Q14" s="403"/>
      <c r="R14" s="394"/>
      <c r="S14" s="393">
        <f t="shared" si="5"/>
        <v>0</v>
      </c>
      <c r="T14" s="412"/>
      <c r="U14" s="402"/>
      <c r="V14" s="394"/>
      <c r="W14" s="393">
        <f t="shared" si="11"/>
        <v>0</v>
      </c>
      <c r="X14" s="24"/>
      <c r="Y14" s="200" t="str">
        <f t="shared" si="0"/>
        <v/>
      </c>
      <c r="Z14" s="320" t="str">
        <f t="shared" si="3"/>
        <v/>
      </c>
      <c r="AA14" s="33" t="str">
        <f t="shared" si="4"/>
        <v/>
      </c>
      <c r="AB14" s="99" t="str">
        <f t="shared" si="1"/>
        <v/>
      </c>
      <c r="AC14" s="313"/>
      <c r="AD14" s="1"/>
      <c r="AE14" s="315"/>
      <c r="AF14" s="48"/>
      <c r="AH14" s="13"/>
      <c r="AI14" s="680"/>
      <c r="AJ14" s="680"/>
      <c r="AK14" s="680"/>
      <c r="AM14" s="685"/>
      <c r="AN14" s="686"/>
    </row>
    <row r="15" spans="2:56" ht="15" customHeight="1">
      <c r="B15" s="337">
        <v>936.24</v>
      </c>
      <c r="C15" s="191">
        <v>46241</v>
      </c>
      <c r="D15" s="56" t="s">
        <v>141</v>
      </c>
      <c r="E15" s="58" t="str">
        <f>IF(OR(B15="",F15="Pago"),"",B15)</f>
        <v/>
      </c>
      <c r="F15" s="351" t="s">
        <v>2</v>
      </c>
      <c r="G15" s="343">
        <f t="shared" si="9"/>
        <v>47177.24</v>
      </c>
      <c r="H15" s="344" t="str">
        <f>IFERROR(VLOOKUP(G15,$Z$5:$Z$174,1,0),"")</f>
        <v/>
      </c>
      <c r="I15" s="343" t="str">
        <f t="shared" si="12"/>
        <v>FIXOS</v>
      </c>
      <c r="J15" s="387" t="s">
        <v>94</v>
      </c>
      <c r="K15" s="351" t="s">
        <v>118</v>
      </c>
      <c r="L15" s="384" t="str">
        <f t="shared" si="10"/>
        <v>8</v>
      </c>
      <c r="M15" s="365"/>
      <c r="N15" s="348">
        <f>IF(F15="Pago",B15,"")</f>
        <v>936.24</v>
      </c>
      <c r="O15" s="312"/>
      <c r="P15" s="419"/>
      <c r="Q15" s="403"/>
      <c r="R15" s="394"/>
      <c r="S15" s="393">
        <f t="shared" si="5"/>
        <v>0</v>
      </c>
      <c r="T15" s="412"/>
      <c r="U15" s="402"/>
      <c r="V15" s="394"/>
      <c r="W15" s="393">
        <f t="shared" si="11"/>
        <v>0</v>
      </c>
      <c r="X15" s="24"/>
      <c r="Y15" s="200" t="str">
        <f t="shared" si="0"/>
        <v/>
      </c>
      <c r="Z15" s="320" t="str">
        <f t="shared" si="3"/>
        <v/>
      </c>
      <c r="AA15" s="33" t="str">
        <f t="shared" si="4"/>
        <v/>
      </c>
      <c r="AB15" s="99" t="str">
        <f t="shared" si="1"/>
        <v/>
      </c>
      <c r="AC15" s="313"/>
      <c r="AD15" s="1"/>
      <c r="AE15" s="315"/>
      <c r="AF15" s="48"/>
      <c r="AH15" s="13"/>
    </row>
    <row r="16" spans="2:56" ht="15" customHeight="1">
      <c r="B16" s="388">
        <v>1491.32</v>
      </c>
      <c r="C16" s="215">
        <v>46241</v>
      </c>
      <c r="D16" s="66" t="s">
        <v>142</v>
      </c>
      <c r="E16" s="67" t="str">
        <f>IF(OR(B16="",F16="Pago"),"",B16)</f>
        <v/>
      </c>
      <c r="F16" s="356" t="s">
        <v>2</v>
      </c>
      <c r="G16" s="345">
        <f t="shared" si="9"/>
        <v>47732.32</v>
      </c>
      <c r="H16" s="346" t="str">
        <f>IFERROR(VLOOKUP(G16,$Z$5:$Z$174,1,0),"")</f>
        <v/>
      </c>
      <c r="I16" s="345" t="str">
        <f t="shared" si="12"/>
        <v>FIXOS</v>
      </c>
      <c r="J16" s="357" t="s">
        <v>94</v>
      </c>
      <c r="K16" s="356" t="s">
        <v>118</v>
      </c>
      <c r="L16" s="359" t="str">
        <f t="shared" si="10"/>
        <v>8</v>
      </c>
      <c r="M16" s="364"/>
      <c r="N16" s="349">
        <f>IF(F16="Pago",B16,"")</f>
        <v>1491.32</v>
      </c>
      <c r="O16" s="308"/>
      <c r="P16" s="419"/>
      <c r="Q16" s="404"/>
      <c r="R16" s="395"/>
      <c r="S16" s="391">
        <f t="shared" si="5"/>
        <v>0</v>
      </c>
      <c r="T16" s="413"/>
      <c r="U16" s="405"/>
      <c r="V16" s="396"/>
      <c r="W16" s="391">
        <f t="shared" si="11"/>
        <v>0</v>
      </c>
      <c r="X16" s="308"/>
      <c r="Y16" s="200" t="str">
        <f t="shared" si="0"/>
        <v/>
      </c>
      <c r="Z16" s="320" t="str">
        <f t="shared" si="3"/>
        <v/>
      </c>
      <c r="AA16" s="33" t="str">
        <f t="shared" si="4"/>
        <v/>
      </c>
      <c r="AB16" s="99" t="str">
        <f t="shared" si="1"/>
        <v/>
      </c>
      <c r="AC16" s="313"/>
      <c r="AD16" s="1"/>
      <c r="AE16" s="315"/>
      <c r="AF16" s="48"/>
      <c r="AH16" s="13"/>
    </row>
    <row r="17" spans="2:54" ht="15" customHeight="1">
      <c r="B17" s="308"/>
      <c r="C17" s="308"/>
      <c r="D17" s="308"/>
      <c r="E17" s="308"/>
      <c r="F17" s="308"/>
      <c r="G17" s="308"/>
      <c r="H17" s="308"/>
      <c r="I17" s="308"/>
      <c r="J17" s="308"/>
      <c r="K17" s="308"/>
      <c r="L17" s="308"/>
      <c r="M17" s="308"/>
      <c r="N17" s="308"/>
      <c r="O17" s="308"/>
      <c r="P17" s="419"/>
      <c r="Q17" s="704">
        <f>SUM(Q6:Q16)</f>
        <v>1738.33</v>
      </c>
      <c r="R17" s="595">
        <f>SUM(R6:R16)</f>
        <v>12176.93</v>
      </c>
      <c r="S17" s="595">
        <f>SUM(S6:S16)</f>
        <v>13796.93</v>
      </c>
      <c r="T17" s="414"/>
      <c r="U17" s="704">
        <f>SUM(U6:U16)</f>
        <v>2568.5</v>
      </c>
      <c r="V17" s="595">
        <f>SUM(V6:V16)</f>
        <v>15133.009999999998</v>
      </c>
      <c r="W17" s="595">
        <f>SUM(W6:W16)</f>
        <v>17701.509999999998</v>
      </c>
      <c r="X17" s="308"/>
      <c r="Y17" s="200" t="str">
        <f t="shared" si="0"/>
        <v/>
      </c>
      <c r="Z17" s="320" t="str">
        <f t="shared" si="3"/>
        <v/>
      </c>
      <c r="AA17" s="33" t="str">
        <f t="shared" si="4"/>
        <v/>
      </c>
      <c r="AB17" s="99" t="str">
        <f t="shared" si="1"/>
        <v/>
      </c>
      <c r="AC17" s="313"/>
      <c r="AD17" s="1"/>
      <c r="AE17" s="315"/>
      <c r="AF17" s="48"/>
      <c r="AH17" s="13"/>
    </row>
    <row r="18" spans="2:54" ht="15" customHeight="1">
      <c r="B18" s="545" t="s">
        <v>128</v>
      </c>
      <c r="C18" s="546"/>
      <c r="D18" s="547"/>
      <c r="E18" s="551">
        <f>SUM(E20:E24)</f>
        <v>1800</v>
      </c>
      <c r="F18" s="552"/>
      <c r="G18" s="322"/>
      <c r="H18" s="220" t="str">
        <f t="shared" ref="H18:H24" si="13">IFERROR(VLOOKUP(G18,$Z$5:$Z$174,1,0),"")</f>
        <v/>
      </c>
      <c r="I18" s="342" t="str">
        <f t="shared" si="12"/>
        <v/>
      </c>
      <c r="J18" s="699">
        <f>SUM(N20:N24)</f>
        <v>0</v>
      </c>
      <c r="K18" s="699"/>
      <c r="L18" s="700"/>
      <c r="M18" s="559">
        <f>SUM(E18,J18)</f>
        <v>1800</v>
      </c>
      <c r="N18" s="560"/>
      <c r="O18" s="308"/>
      <c r="P18" s="420"/>
      <c r="Q18" s="705"/>
      <c r="R18" s="596"/>
      <c r="S18" s="596"/>
      <c r="T18" s="415"/>
      <c r="U18" s="705"/>
      <c r="V18" s="596"/>
      <c r="W18" s="596"/>
      <c r="X18" s="308"/>
      <c r="Y18" s="200" t="str">
        <f t="shared" si="0"/>
        <v/>
      </c>
      <c r="Z18" s="320" t="str">
        <f t="shared" si="3"/>
        <v/>
      </c>
      <c r="AA18" s="33" t="str">
        <f t="shared" si="4"/>
        <v/>
      </c>
      <c r="AB18" s="99" t="str">
        <f t="shared" si="1"/>
        <v/>
      </c>
      <c r="AC18" s="313"/>
      <c r="AD18" s="1"/>
      <c r="AE18" s="315"/>
      <c r="AF18" s="48"/>
    </row>
    <row r="19" spans="2:54" ht="15" customHeight="1">
      <c r="B19" s="548"/>
      <c r="C19" s="549"/>
      <c r="D19" s="550"/>
      <c r="E19" s="553"/>
      <c r="F19" s="554"/>
      <c r="G19" s="323"/>
      <c r="H19" s="222" t="str">
        <f t="shared" si="13"/>
        <v/>
      </c>
      <c r="I19" s="346" t="str">
        <f t="shared" si="12"/>
        <v/>
      </c>
      <c r="J19" s="701"/>
      <c r="K19" s="701"/>
      <c r="L19" s="702"/>
      <c r="M19" s="561"/>
      <c r="N19" s="562"/>
      <c r="O19" s="308"/>
      <c r="P19" s="308"/>
      <c r="Q19" s="308"/>
      <c r="R19" s="308"/>
      <c r="S19" s="308"/>
      <c r="T19" s="308"/>
      <c r="U19" s="336"/>
      <c r="V19" s="308"/>
      <c r="W19" s="308"/>
      <c r="X19" s="308"/>
      <c r="Y19" s="200" t="str">
        <f t="shared" si="0"/>
        <v/>
      </c>
      <c r="Z19" s="320" t="str">
        <f t="shared" si="3"/>
        <v/>
      </c>
      <c r="AA19" s="33" t="str">
        <f t="shared" si="4"/>
        <v/>
      </c>
      <c r="AB19" s="99" t="str">
        <f t="shared" si="1"/>
        <v/>
      </c>
      <c r="AC19" s="313"/>
      <c r="AD19" s="1"/>
      <c r="AE19" s="315"/>
      <c r="AF19" s="48"/>
      <c r="AM19" s="16" t="e">
        <f>AM21-600</f>
        <v>#VALUE!</v>
      </c>
      <c r="AN19" s="16"/>
    </row>
    <row r="20" spans="2:54" ht="15" customHeight="1">
      <c r="B20" s="337">
        <v>1000</v>
      </c>
      <c r="C20" s="191">
        <v>46249</v>
      </c>
      <c r="D20" s="56" t="s">
        <v>36</v>
      </c>
      <c r="E20" s="58">
        <f>IF(OR(B20="",F20="Pago"),"",B20)</f>
        <v>1000</v>
      </c>
      <c r="F20" s="351" t="s">
        <v>135</v>
      </c>
      <c r="G20" s="343">
        <f>IF(B20="","",B20+C20)</f>
        <v>47249</v>
      </c>
      <c r="H20" s="344" t="str">
        <f t="shared" si="13"/>
        <v/>
      </c>
      <c r="I20" s="343" t="str">
        <f>IF(OR(G20&lt;&gt;"",H20&lt;&gt;""),"DEPOSITAR","")</f>
        <v>DEPOSITAR</v>
      </c>
      <c r="J20" s="383" t="s">
        <v>94</v>
      </c>
      <c r="K20" s="385" t="s">
        <v>118</v>
      </c>
      <c r="L20" s="384" t="str">
        <f>IF(K20="AV","8",IF(AND(G20="",H20=""),"",IF(G20=H20,"P",IF(G20&lt;&gt;H20,"O"))))</f>
        <v>8</v>
      </c>
      <c r="M20" s="354"/>
      <c r="N20" s="347" t="str">
        <f>IF(F20="Pago",B20,"")</f>
        <v/>
      </c>
      <c r="O20" s="308"/>
      <c r="P20" s="580">
        <f>Q17-U17</f>
        <v>-830.17000000000007</v>
      </c>
      <c r="Q20" s="581"/>
      <c r="R20" s="581"/>
      <c r="S20" s="581"/>
      <c r="T20" s="581"/>
      <c r="U20" s="581"/>
      <c r="V20" s="581"/>
      <c r="W20" s="582"/>
      <c r="X20" s="308"/>
      <c r="Y20" s="200" t="str">
        <f t="shared" si="0"/>
        <v/>
      </c>
      <c r="Z20" s="320" t="str">
        <f t="shared" si="3"/>
        <v/>
      </c>
      <c r="AA20" s="33" t="str">
        <f t="shared" si="4"/>
        <v/>
      </c>
      <c r="AB20" s="99" t="str">
        <f t="shared" si="1"/>
        <v/>
      </c>
      <c r="AC20" s="313"/>
      <c r="AD20" s="1"/>
      <c r="AE20" s="315"/>
      <c r="AF20" s="48"/>
      <c r="AH20" s="13"/>
      <c r="AM20" s="16"/>
      <c r="AN20" s="16"/>
    </row>
    <row r="21" spans="2:54" ht="15" customHeight="1">
      <c r="B21" s="337">
        <v>500</v>
      </c>
      <c r="C21" s="191">
        <v>46254</v>
      </c>
      <c r="D21" s="56" t="s">
        <v>8</v>
      </c>
      <c r="E21" s="58">
        <f>IF(OR(B21="",F21="Pago"),"",B21)</f>
        <v>500</v>
      </c>
      <c r="F21" s="351" t="s">
        <v>135</v>
      </c>
      <c r="G21" s="343">
        <f>IF(B21="","",B21+C21)</f>
        <v>46754</v>
      </c>
      <c r="H21" s="344" t="str">
        <f t="shared" si="13"/>
        <v/>
      </c>
      <c r="I21" s="343" t="str">
        <f t="shared" ref="I21:I24" si="14">IF(OR(G21&lt;&gt;"",H21&lt;&gt;""),"DEPOSITAR","")</f>
        <v>DEPOSITAR</v>
      </c>
      <c r="J21" s="383" t="s">
        <v>94</v>
      </c>
      <c r="K21" s="351" t="s">
        <v>118</v>
      </c>
      <c r="L21" s="384" t="str">
        <f>IF(K21="AV","8",IF(AND(G21="",H21=""),"",IF(G21=H21,"P",IF(G21&lt;&gt;H21,"O"))))</f>
        <v>8</v>
      </c>
      <c r="M21" s="354"/>
      <c r="N21" s="348" t="str">
        <f>IF(F21="Pago",B21,"")</f>
        <v/>
      </c>
      <c r="O21" s="308"/>
      <c r="P21" s="583"/>
      <c r="Q21" s="584"/>
      <c r="R21" s="584"/>
      <c r="S21" s="584"/>
      <c r="T21" s="584"/>
      <c r="U21" s="584"/>
      <c r="V21" s="584"/>
      <c r="W21" s="585"/>
      <c r="X21" s="312"/>
      <c r="Y21" s="200" t="str">
        <f t="shared" si="0"/>
        <v/>
      </c>
      <c r="Z21" s="320" t="str">
        <f t="shared" si="3"/>
        <v/>
      </c>
      <c r="AA21" s="33" t="str">
        <f t="shared" si="4"/>
        <v/>
      </c>
      <c r="AB21" s="99" t="str">
        <f t="shared" si="1"/>
        <v/>
      </c>
      <c r="AC21" s="313"/>
      <c r="AD21" s="1"/>
      <c r="AE21" s="315"/>
      <c r="AF21" s="48"/>
      <c r="AH21" s="13"/>
      <c r="AM21" s="16" t="e">
        <f>AM11+E13+E14</f>
        <v>#VALUE!</v>
      </c>
    </row>
    <row r="22" spans="2:54" ht="15" customHeight="1">
      <c r="B22" s="337">
        <v>100</v>
      </c>
      <c r="C22" s="191">
        <v>46262</v>
      </c>
      <c r="D22" s="56" t="s">
        <v>80</v>
      </c>
      <c r="E22" s="58">
        <f>IF(OR(B22="",F22="Pago"),"",B22)</f>
        <v>100</v>
      </c>
      <c r="F22" s="351" t="s">
        <v>135</v>
      </c>
      <c r="G22" s="343">
        <f>IF(B22="","",B22+C22)</f>
        <v>46362</v>
      </c>
      <c r="H22" s="344" t="str">
        <f t="shared" si="13"/>
        <v/>
      </c>
      <c r="I22" s="343" t="str">
        <f t="shared" si="14"/>
        <v>DEPOSITAR</v>
      </c>
      <c r="J22" s="383" t="s">
        <v>94</v>
      </c>
      <c r="K22" s="351" t="s">
        <v>118</v>
      </c>
      <c r="L22" s="384" t="str">
        <f>IF(K22="AV","8",IF(AND(G22="",H22=""),"",IF(G22=H22,"P",IF(G22&lt;&gt;H22,"O"))))</f>
        <v>8</v>
      </c>
      <c r="M22" s="354"/>
      <c r="N22" s="348" t="str">
        <f>IF(F22="Pago",B22,"")</f>
        <v/>
      </c>
      <c r="O22" s="308"/>
      <c r="P22" s="308"/>
      <c r="Q22" s="308"/>
      <c r="R22" s="308"/>
      <c r="S22" s="308"/>
      <c r="T22" s="308"/>
      <c r="U22" s="308"/>
      <c r="V22" s="308"/>
      <c r="W22" s="308"/>
      <c r="X22" s="308"/>
      <c r="Y22" s="200" t="str">
        <f t="shared" si="0"/>
        <v/>
      </c>
      <c r="Z22" s="320" t="str">
        <f t="shared" si="3"/>
        <v/>
      </c>
      <c r="AA22" s="33" t="str">
        <f t="shared" si="4"/>
        <v/>
      </c>
      <c r="AB22" s="99" t="str">
        <f t="shared" si="1"/>
        <v/>
      </c>
      <c r="AC22" s="313"/>
      <c r="AD22" s="1"/>
      <c r="AE22" s="315"/>
      <c r="AF22" s="48"/>
      <c r="AH22" s="13"/>
    </row>
    <row r="23" spans="2:54" ht="15" customHeight="1">
      <c r="B23" s="337">
        <v>100</v>
      </c>
      <c r="C23" s="191">
        <v>46241</v>
      </c>
      <c r="D23" s="56" t="s">
        <v>109</v>
      </c>
      <c r="E23" s="58">
        <f>IF(OR(B23="",F23="Pago"),"",B23)</f>
        <v>100</v>
      </c>
      <c r="F23" s="351" t="s">
        <v>135</v>
      </c>
      <c r="G23" s="343">
        <f>IF(B23="","",B23+C23)</f>
        <v>46341</v>
      </c>
      <c r="H23" s="344" t="str">
        <f t="shared" si="13"/>
        <v/>
      </c>
      <c r="I23" s="343" t="str">
        <f t="shared" si="14"/>
        <v>DEPOSITAR</v>
      </c>
      <c r="J23" s="383" t="s">
        <v>94</v>
      </c>
      <c r="K23" s="351" t="s">
        <v>118</v>
      </c>
      <c r="L23" s="384" t="str">
        <f>IF(K23="AV","8",IF(AND(G23="",H23=""),"",IF(G23=H23,"P",IF(G23&lt;&gt;H23,"O"))))</f>
        <v>8</v>
      </c>
      <c r="M23" s="354"/>
      <c r="N23" s="348" t="str">
        <f>IF(F23="Pago",B23,"")</f>
        <v/>
      </c>
      <c r="O23" s="308"/>
      <c r="P23" s="308"/>
      <c r="Q23" s="308"/>
      <c r="R23" s="308"/>
      <c r="S23" s="308"/>
      <c r="T23" s="308"/>
      <c r="U23" s="308"/>
      <c r="V23" s="308"/>
      <c r="W23" s="308"/>
      <c r="X23" s="308"/>
      <c r="Y23" s="200" t="str">
        <f t="shared" si="0"/>
        <v/>
      </c>
      <c r="Z23" s="320" t="str">
        <f t="shared" si="3"/>
        <v/>
      </c>
      <c r="AA23" s="33" t="str">
        <f t="shared" si="4"/>
        <v/>
      </c>
      <c r="AB23" s="99" t="str">
        <f t="shared" si="1"/>
        <v/>
      </c>
      <c r="AC23" s="313"/>
      <c r="AD23" s="1"/>
      <c r="AE23" s="315"/>
      <c r="AF23" s="48"/>
      <c r="AH23" s="13"/>
    </row>
    <row r="24" spans="2:54" ht="15" customHeight="1">
      <c r="B24" s="388">
        <v>100</v>
      </c>
      <c r="C24" s="215">
        <v>46241</v>
      </c>
      <c r="D24" s="66" t="s">
        <v>110</v>
      </c>
      <c r="E24" s="67">
        <f>IF(OR(B24="",F24="Pago"),"",B24)</f>
        <v>100</v>
      </c>
      <c r="F24" s="356" t="s">
        <v>135</v>
      </c>
      <c r="G24" s="345">
        <f>IF(B24="","",B24+C24)</f>
        <v>46341</v>
      </c>
      <c r="H24" s="345" t="str">
        <f t="shared" si="13"/>
        <v/>
      </c>
      <c r="I24" s="345" t="str">
        <f t="shared" si="14"/>
        <v>DEPOSITAR</v>
      </c>
      <c r="J24" s="358" t="s">
        <v>94</v>
      </c>
      <c r="K24" s="356" t="s">
        <v>118</v>
      </c>
      <c r="L24" s="359" t="str">
        <f>IF(K24="AV","8",IF(AND(G24="",H24=""),"",IF(G24=H24,"P",IF(G24&lt;&gt;H24,"O"))))</f>
        <v>8</v>
      </c>
      <c r="M24" s="364"/>
      <c r="N24" s="349" t="str">
        <f>IF(F24="Pago",B24,"")</f>
        <v/>
      </c>
      <c r="O24" s="308"/>
      <c r="P24" s="714" t="s">
        <v>306</v>
      </c>
      <c r="Q24" s="716" t="s">
        <v>307</v>
      </c>
      <c r="R24" s="542" t="s">
        <v>87</v>
      </c>
      <c r="S24" s="542" t="s">
        <v>305</v>
      </c>
      <c r="T24" s="593" t="s">
        <v>90</v>
      </c>
      <c r="U24" s="542" t="s">
        <v>95</v>
      </c>
      <c r="V24" s="542" t="s">
        <v>99</v>
      </c>
      <c r="W24" s="542" t="s">
        <v>8</v>
      </c>
      <c r="X24" s="308"/>
      <c r="Y24" s="200" t="str">
        <f t="shared" si="0"/>
        <v/>
      </c>
      <c r="Z24" s="320" t="str">
        <f t="shared" si="3"/>
        <v/>
      </c>
      <c r="AA24" s="33" t="str">
        <f t="shared" si="4"/>
        <v/>
      </c>
      <c r="AB24" s="99" t="str">
        <f t="shared" si="1"/>
        <v/>
      </c>
      <c r="AC24" s="313"/>
      <c r="AD24" s="1"/>
      <c r="AE24" s="315"/>
      <c r="AF24" s="48"/>
      <c r="AH24" s="13"/>
    </row>
    <row r="25" spans="2:54" ht="15" customHeight="1">
      <c r="B25" s="308"/>
      <c r="C25" s="308"/>
      <c r="D25" s="308"/>
      <c r="E25" s="308"/>
      <c r="F25" s="308"/>
      <c r="G25" s="308"/>
      <c r="H25" s="308"/>
      <c r="I25" s="308"/>
      <c r="J25" s="308"/>
      <c r="K25" s="308"/>
      <c r="L25" s="308"/>
      <c r="M25" s="308"/>
      <c r="N25" s="308"/>
      <c r="O25" s="308"/>
      <c r="P25" s="715"/>
      <c r="Q25" s="717"/>
      <c r="R25" s="543"/>
      <c r="S25" s="543"/>
      <c r="T25" s="594"/>
      <c r="U25" s="543"/>
      <c r="V25" s="543"/>
      <c r="W25" s="543"/>
      <c r="X25" s="308"/>
      <c r="Y25" s="200" t="str">
        <f t="shared" si="0"/>
        <v/>
      </c>
      <c r="Z25" s="320" t="str">
        <f t="shared" si="3"/>
        <v/>
      </c>
      <c r="AA25" s="33" t="str">
        <f t="shared" si="4"/>
        <v/>
      </c>
      <c r="AB25" s="99" t="str">
        <f t="shared" si="1"/>
        <v/>
      </c>
      <c r="AC25" s="313"/>
      <c r="AD25" s="1"/>
      <c r="AE25" s="315"/>
      <c r="AF25" s="48"/>
      <c r="AH25" s="13"/>
    </row>
    <row r="26" spans="2:54" ht="15" customHeight="1">
      <c r="B26" s="545" t="s">
        <v>16</v>
      </c>
      <c r="C26" s="546"/>
      <c r="D26" s="547"/>
      <c r="E26" s="551">
        <f>SUM(E28:E37)</f>
        <v>0</v>
      </c>
      <c r="F26" s="552"/>
      <c r="G26" s="322"/>
      <c r="H26" s="220"/>
      <c r="I26" s="342" t="str">
        <f t="shared" si="12"/>
        <v/>
      </c>
      <c r="J26" s="699">
        <f>SUM(N28:N37)</f>
        <v>192.55</v>
      </c>
      <c r="K26" s="699"/>
      <c r="L26" s="700"/>
      <c r="M26" s="559">
        <f>SUM(E26,J26)</f>
        <v>192.55</v>
      </c>
      <c r="N26" s="560"/>
      <c r="O26" s="308"/>
      <c r="P26" s="421" t="s">
        <v>237</v>
      </c>
      <c r="Q26" s="96">
        <f>SUM(R26:W26)</f>
        <v>3369.54</v>
      </c>
      <c r="R26" s="397"/>
      <c r="S26" s="335">
        <f>SUMIFS($B$12:$B$16,$K$12:$K$16,"AV")</f>
        <v>3369.54</v>
      </c>
      <c r="T26" s="397">
        <f>SUMIFS($B$12:$B$16,$K$12:$K$16,"IT")</f>
        <v>0</v>
      </c>
      <c r="U26" s="397">
        <f>SUMIFS($B$12:$B$16,$K$12:$K$16,"IT2")</f>
        <v>0</v>
      </c>
      <c r="V26" s="397">
        <f>SUMIFS($B$12:$B$16,$K$12:$K$16,"ITP")</f>
        <v>0</v>
      </c>
      <c r="W26" s="397">
        <f>SUMIFS($B$12:$B$16,$K$12:$K$16,"C6")</f>
        <v>0</v>
      </c>
      <c r="X26" s="308"/>
      <c r="Y26" s="200" t="str">
        <f t="shared" si="0"/>
        <v/>
      </c>
      <c r="Z26" s="320" t="str">
        <f t="shared" si="3"/>
        <v/>
      </c>
      <c r="AA26" s="33" t="str">
        <f t="shared" si="4"/>
        <v/>
      </c>
      <c r="AB26" s="99" t="str">
        <f t="shared" si="1"/>
        <v/>
      </c>
      <c r="AC26" s="313"/>
      <c r="AD26" s="1"/>
      <c r="AE26" s="315"/>
      <c r="AF26" s="48"/>
      <c r="AG26" s="17"/>
      <c r="AR26" s="18"/>
      <c r="AS26" s="18"/>
      <c r="AT26" s="18"/>
      <c r="AU26" s="18"/>
      <c r="AV26" s="18"/>
      <c r="AW26" s="18"/>
      <c r="AX26" s="18"/>
      <c r="AY26" s="18"/>
      <c r="AZ26" s="3"/>
      <c r="BA26" s="5"/>
      <c r="BB26" s="5"/>
    </row>
    <row r="27" spans="2:54" ht="15" customHeight="1">
      <c r="B27" s="548"/>
      <c r="C27" s="549"/>
      <c r="D27" s="550"/>
      <c r="E27" s="553"/>
      <c r="F27" s="554"/>
      <c r="G27" s="323"/>
      <c r="H27" s="222"/>
      <c r="I27" s="346" t="str">
        <f t="shared" si="12"/>
        <v/>
      </c>
      <c r="J27" s="701"/>
      <c r="K27" s="701"/>
      <c r="L27" s="702"/>
      <c r="M27" s="561"/>
      <c r="N27" s="562"/>
      <c r="O27" s="308"/>
      <c r="P27" s="421" t="s">
        <v>106</v>
      </c>
      <c r="Q27" s="96">
        <f t="shared" ref="Q27:Q41" si="15">SUM(R27:W27)</f>
        <v>1800</v>
      </c>
      <c r="R27" s="335"/>
      <c r="S27" s="335">
        <f>SUMIFS($B$20:$B$24,$K$20:$K$24,"AV")</f>
        <v>1800</v>
      </c>
      <c r="T27" s="335">
        <f>SUMIFS($B$20:$B$24,$K$20:$K$24,"IT")</f>
        <v>0</v>
      </c>
      <c r="U27" s="335">
        <f>SUMIFS($B$20:$B$24,$K$20:$K$24,"IT2")</f>
        <v>0</v>
      </c>
      <c r="V27" s="335">
        <f>SUMIFS($B$20:$B$24,$K$20:$K$24,"ITP")</f>
        <v>0</v>
      </c>
      <c r="W27" s="335">
        <f>SUMIFS($B$20:$B$24,$K$20:$K$24,"C6")</f>
        <v>0</v>
      </c>
      <c r="X27" s="308"/>
      <c r="Y27" s="200" t="str">
        <f t="shared" si="0"/>
        <v/>
      </c>
      <c r="Z27" s="320" t="str">
        <f t="shared" si="3"/>
        <v/>
      </c>
      <c r="AA27" s="33" t="str">
        <f t="shared" si="4"/>
        <v/>
      </c>
      <c r="AB27" s="99" t="str">
        <f t="shared" si="1"/>
        <v/>
      </c>
      <c r="AC27" s="313"/>
      <c r="AD27" s="1"/>
      <c r="AE27" s="315"/>
      <c r="AF27" s="48"/>
      <c r="AG27" s="17"/>
      <c r="AH27" s="13"/>
      <c r="AR27" s="18"/>
      <c r="AS27" s="18"/>
      <c r="AT27" s="18"/>
      <c r="AU27" s="18"/>
      <c r="AV27" s="18"/>
      <c r="AW27" s="18"/>
      <c r="AX27" s="18"/>
      <c r="AY27" s="18"/>
      <c r="AZ27" s="3"/>
      <c r="BA27" s="5"/>
      <c r="BB27" s="5"/>
    </row>
    <row r="28" spans="2:54" ht="15" customHeight="1">
      <c r="B28" s="337">
        <v>59.9</v>
      </c>
      <c r="C28" s="191">
        <v>46291</v>
      </c>
      <c r="D28" s="79" t="s">
        <v>17</v>
      </c>
      <c r="E28" s="58" t="str">
        <f t="shared" ref="E28:E37" si="16">IF(OR(B28="",F28="Pago"),"",B28)</f>
        <v/>
      </c>
      <c r="F28" s="351" t="s">
        <v>2</v>
      </c>
      <c r="G28" s="343">
        <f t="shared" ref="G28:G37" si="17">IF(B28="","",B28+C28)</f>
        <v>46350.9</v>
      </c>
      <c r="H28" s="344">
        <f t="shared" ref="H28:H33" si="18">IFERROR(VLOOKUP(G28,$Z$5:$Z$174,1,0),"")</f>
        <v>46350.9</v>
      </c>
      <c r="I28" s="343" t="str">
        <f>IF(OR(G28&lt;&gt;"",H28&lt;&gt;""),"TV","")</f>
        <v>TV</v>
      </c>
      <c r="J28" s="383" t="s">
        <v>94</v>
      </c>
      <c r="K28" s="385" t="s">
        <v>90</v>
      </c>
      <c r="L28" s="384" t="str">
        <f t="shared" ref="L28:L37" si="19">IF(K28="AV","8",IF(AND(G28="",H28=""),"",IF(G28=H28,"P",IF(G28&lt;&gt;H28,"O"))))</f>
        <v>P</v>
      </c>
      <c r="M28" s="354"/>
      <c r="N28" s="347">
        <f t="shared" ref="N28:N37" si="20">IF(F28="Pago",B28,"")</f>
        <v>59.9</v>
      </c>
      <c r="O28" s="308"/>
      <c r="P28" s="421" t="s">
        <v>29</v>
      </c>
      <c r="Q28" s="96">
        <f t="shared" si="15"/>
        <v>1084.45</v>
      </c>
      <c r="R28" s="335"/>
      <c r="S28" s="335">
        <f>SUMIFS($B$41:$B$46,$K$41:$K$46,"AV")</f>
        <v>0</v>
      </c>
      <c r="T28" s="335">
        <f>SUMIFS($B$41:$B$46,$K$41:$K$46,"IT")</f>
        <v>0</v>
      </c>
      <c r="U28" s="335">
        <f>SUMIFS($B$41:$B$46,$K$41:$K$46,"IT2")</f>
        <v>0</v>
      </c>
      <c r="V28" s="335">
        <f>SUMIFS($B$41:$B$46,$K$41:$K$46,"ITP")</f>
        <v>582.16000000000008</v>
      </c>
      <c r="W28" s="335">
        <f>SUMIFS($B$41:$B$46,$K$41:$K$46,"C6")</f>
        <v>502.29</v>
      </c>
      <c r="X28" s="308"/>
      <c r="Y28" s="200" t="str">
        <f t="shared" si="0"/>
        <v/>
      </c>
      <c r="Z28" s="320" t="str">
        <f t="shared" si="3"/>
        <v/>
      </c>
      <c r="AA28" s="33" t="str">
        <f t="shared" si="4"/>
        <v/>
      </c>
      <c r="AB28" s="99" t="str">
        <f t="shared" si="1"/>
        <v/>
      </c>
      <c r="AC28" s="313"/>
      <c r="AD28" s="1"/>
      <c r="AE28" s="315"/>
      <c r="AF28" s="48"/>
      <c r="AG28" s="17"/>
      <c r="AH28" s="13"/>
      <c r="AR28" s="18"/>
      <c r="AS28" s="18"/>
      <c r="AT28" s="18"/>
      <c r="AU28" s="18"/>
      <c r="AV28" s="18"/>
      <c r="AW28" s="18"/>
      <c r="AX28" s="18"/>
      <c r="AY28" s="18"/>
      <c r="AZ28" s="3"/>
      <c r="BA28" s="5"/>
      <c r="BB28" s="5"/>
    </row>
    <row r="29" spans="2:54" ht="15" customHeight="1">
      <c r="B29" s="337">
        <v>11.9</v>
      </c>
      <c r="C29" s="389"/>
      <c r="D29" s="177" t="s">
        <v>174</v>
      </c>
      <c r="E29" s="58" t="str">
        <f t="shared" si="16"/>
        <v/>
      </c>
      <c r="F29" s="351" t="s">
        <v>2</v>
      </c>
      <c r="G29" s="343">
        <f t="shared" si="17"/>
        <v>11.9</v>
      </c>
      <c r="H29" s="344" t="str">
        <f t="shared" si="18"/>
        <v/>
      </c>
      <c r="I29" s="343" t="str">
        <f t="shared" ref="I29:I37" si="21">IF(OR(G29&lt;&gt;"",H29&lt;&gt;""),"TV","")</f>
        <v>TV</v>
      </c>
      <c r="J29" s="383" t="s">
        <v>94</v>
      </c>
      <c r="K29" s="351" t="s">
        <v>118</v>
      </c>
      <c r="L29" s="384" t="str">
        <f t="shared" si="19"/>
        <v>8</v>
      </c>
      <c r="M29" s="354"/>
      <c r="N29" s="348">
        <f t="shared" si="20"/>
        <v>11.9</v>
      </c>
      <c r="O29" s="308"/>
      <c r="P29" s="421" t="s">
        <v>16</v>
      </c>
      <c r="Q29" s="96">
        <f>SUM(R29:W29)</f>
        <v>192.54999999999998</v>
      </c>
      <c r="R29" s="335"/>
      <c r="S29" s="335">
        <f>SUMIFS($B$28:$B$37,$K$28:$K$37,"AV")</f>
        <v>76.699999999999989</v>
      </c>
      <c r="T29" s="335">
        <f>SUMIFS($B$28:$B$37,$K$28:$K$37,"IT")</f>
        <v>111.69999999999999</v>
      </c>
      <c r="U29" s="335">
        <f>SUMIFS($B$28:$B$37,$K$28:$K$37,"IT2")</f>
        <v>0</v>
      </c>
      <c r="V29" s="335">
        <f>SUMIFS($B$28:$B$37,$K$28:$K$37,"ITP")</f>
        <v>0</v>
      </c>
      <c r="W29" s="335">
        <f>SUMIFS($B$28:$B$37,$K$28:$K$37,"C6")</f>
        <v>4.1500000000000004</v>
      </c>
      <c r="X29" s="308"/>
      <c r="Y29" s="200" t="str">
        <f t="shared" si="0"/>
        <v/>
      </c>
      <c r="Z29" s="320" t="str">
        <f t="shared" si="3"/>
        <v/>
      </c>
      <c r="AA29" s="33" t="str">
        <f t="shared" si="4"/>
        <v/>
      </c>
      <c r="AB29" s="99" t="str">
        <f t="shared" si="1"/>
        <v/>
      </c>
      <c r="AC29" s="313"/>
      <c r="AD29" s="1"/>
      <c r="AE29" s="315"/>
      <c r="AF29" s="48"/>
      <c r="AG29" s="17"/>
      <c r="AH29" s="13"/>
      <c r="AR29" s="18"/>
      <c r="AS29" s="18"/>
      <c r="AT29" s="18"/>
      <c r="AU29" s="18"/>
      <c r="AV29" s="18"/>
      <c r="AW29" s="18"/>
      <c r="AX29" s="18"/>
      <c r="AY29" s="18"/>
      <c r="AZ29" s="3"/>
      <c r="BA29" s="5"/>
      <c r="BB29" s="5"/>
    </row>
    <row r="30" spans="2:54" ht="15" customHeight="1">
      <c r="B30" s="337">
        <v>26.9</v>
      </c>
      <c r="C30" s="191">
        <v>46301</v>
      </c>
      <c r="D30" s="79" t="s">
        <v>180</v>
      </c>
      <c r="E30" s="58" t="str">
        <f t="shared" si="16"/>
        <v/>
      </c>
      <c r="F30" s="351" t="s">
        <v>2</v>
      </c>
      <c r="G30" s="343">
        <f t="shared" si="17"/>
        <v>46327.9</v>
      </c>
      <c r="H30" s="344">
        <f t="shared" si="18"/>
        <v>46327.9</v>
      </c>
      <c r="I30" s="343" t="str">
        <f t="shared" si="21"/>
        <v>TV</v>
      </c>
      <c r="J30" s="383" t="s">
        <v>94</v>
      </c>
      <c r="K30" s="351" t="s">
        <v>90</v>
      </c>
      <c r="L30" s="384" t="str">
        <f t="shared" si="19"/>
        <v>P</v>
      </c>
      <c r="M30" s="354"/>
      <c r="N30" s="348">
        <f t="shared" si="20"/>
        <v>26.9</v>
      </c>
      <c r="O30" s="308"/>
      <c r="P30" s="421" t="s">
        <v>20</v>
      </c>
      <c r="Q30" s="96">
        <f t="shared" si="15"/>
        <v>2057.44</v>
      </c>
      <c r="R30" s="335" t="str">
        <f>IF(1500-S30-T30-U30-V30-W30&lt;0,"R$ 0,00",1500-S30-T30-U30-V30-W30)</f>
        <v>R$ 0,00</v>
      </c>
      <c r="S30" s="335">
        <f>SUMIFS($B$58:$B$81,$K$58:$K$81,"AV")</f>
        <v>0</v>
      </c>
      <c r="T30" s="335">
        <f>SUMIFS($B$58:$B$81,$K$58:$K$81,"IT")</f>
        <v>2036.07</v>
      </c>
      <c r="U30" s="335">
        <f>SUMIFS($B$58:$B$81,$K$58:$K$81,"IT2")</f>
        <v>0</v>
      </c>
      <c r="V30" s="335">
        <f>SUMIFS($B$58:$B$81,$K$58:$K$81,"ITP")</f>
        <v>0</v>
      </c>
      <c r="W30" s="335">
        <f>SUMIFS($B$58:$B$81,$K$58:$K$81,"C6")</f>
        <v>21.37</v>
      </c>
      <c r="X30" s="308"/>
      <c r="Y30" s="200" t="str">
        <f t="shared" si="0"/>
        <v/>
      </c>
      <c r="Z30" s="320" t="str">
        <f t="shared" si="3"/>
        <v/>
      </c>
      <c r="AA30" s="33" t="str">
        <f t="shared" si="4"/>
        <v/>
      </c>
      <c r="AB30" s="99" t="str">
        <f t="shared" si="1"/>
        <v/>
      </c>
      <c r="AC30" s="313"/>
      <c r="AD30" s="217"/>
      <c r="AE30" s="315"/>
      <c r="AF30" s="48"/>
      <c r="AG30" s="17"/>
      <c r="AH30" s="13"/>
    </row>
    <row r="31" spans="2:54" ht="15" customHeight="1">
      <c r="B31" s="337">
        <v>10</v>
      </c>
      <c r="C31" s="389"/>
      <c r="D31" s="177" t="s">
        <v>173</v>
      </c>
      <c r="E31" s="58" t="str">
        <f t="shared" si="16"/>
        <v/>
      </c>
      <c r="F31" s="351" t="s">
        <v>2</v>
      </c>
      <c r="G31" s="343">
        <f t="shared" si="17"/>
        <v>10</v>
      </c>
      <c r="H31" s="344" t="str">
        <f t="shared" si="18"/>
        <v/>
      </c>
      <c r="I31" s="343" t="str">
        <f t="shared" si="21"/>
        <v>TV</v>
      </c>
      <c r="J31" s="383" t="s">
        <v>94</v>
      </c>
      <c r="K31" s="351" t="s">
        <v>118</v>
      </c>
      <c r="L31" s="384" t="str">
        <f t="shared" si="19"/>
        <v>8</v>
      </c>
      <c r="M31" s="354"/>
      <c r="N31" s="348">
        <f t="shared" si="20"/>
        <v>10</v>
      </c>
      <c r="O31" s="308"/>
      <c r="P31" s="421" t="s">
        <v>44</v>
      </c>
      <c r="Q31" s="96">
        <f t="shared" si="15"/>
        <v>200</v>
      </c>
      <c r="R31" s="335">
        <f>IF(200-S31-T31-U31-V31-W31&lt;0,"R$ 0,00",200-S31-T31-U31-V31-W31)</f>
        <v>200</v>
      </c>
      <c r="S31" s="335">
        <f>SUMIFS($B$50:$B$54,$K$50:$K$54,"AV")</f>
        <v>0</v>
      </c>
      <c r="T31" s="335">
        <f>SUMIFS($B$50:$B$54,$K$50:$K$54,"IT")</f>
        <v>0</v>
      </c>
      <c r="U31" s="335">
        <f>SUMIFS($B$50:$B$54,$K$50:$K$54,"IT2")</f>
        <v>0</v>
      </c>
      <c r="V31" s="335">
        <f>SUMIFS($B$50:$B$54,$K$50:$K$54,"ITP")</f>
        <v>0</v>
      </c>
      <c r="W31" s="335">
        <f>SUMIFS($B$50:$B$54,$K$50:$K$54,"C6")</f>
        <v>0</v>
      </c>
      <c r="X31" s="308"/>
      <c r="Y31" s="200" t="str">
        <f t="shared" si="0"/>
        <v/>
      </c>
      <c r="Z31" s="320" t="str">
        <f t="shared" si="3"/>
        <v/>
      </c>
      <c r="AA31" s="33" t="str">
        <f t="shared" si="4"/>
        <v/>
      </c>
      <c r="AB31" s="99" t="str">
        <f t="shared" si="1"/>
        <v/>
      </c>
      <c r="AC31" s="313"/>
      <c r="AD31" s="217"/>
      <c r="AE31" s="315"/>
      <c r="AF31" s="48"/>
      <c r="AG31" s="17"/>
      <c r="AH31" s="13"/>
      <c r="AQ31" s="18"/>
      <c r="AR31" s="3"/>
      <c r="AS31" s="3"/>
      <c r="AT31" s="3"/>
      <c r="AU31" s="3"/>
      <c r="AV31" s="3"/>
      <c r="AW31" s="3"/>
      <c r="AX31" s="3"/>
      <c r="AY31" s="3"/>
      <c r="BA31" s="5"/>
      <c r="BB31" s="5"/>
    </row>
    <row r="32" spans="2:54" ht="15" customHeight="1">
      <c r="B32" s="337">
        <v>19.899999999999999</v>
      </c>
      <c r="C32" s="389"/>
      <c r="D32" s="177" t="s">
        <v>172</v>
      </c>
      <c r="E32" s="58" t="str">
        <f t="shared" si="16"/>
        <v/>
      </c>
      <c r="F32" s="351" t="s">
        <v>2</v>
      </c>
      <c r="G32" s="343">
        <f t="shared" si="17"/>
        <v>19.899999999999999</v>
      </c>
      <c r="H32" s="344" t="str">
        <f t="shared" si="18"/>
        <v/>
      </c>
      <c r="I32" s="343" t="str">
        <f t="shared" si="21"/>
        <v>TV</v>
      </c>
      <c r="J32" s="383" t="s">
        <v>94</v>
      </c>
      <c r="K32" s="351" t="s">
        <v>118</v>
      </c>
      <c r="L32" s="384" t="str">
        <f t="shared" si="19"/>
        <v>8</v>
      </c>
      <c r="M32" s="354"/>
      <c r="N32" s="348">
        <f t="shared" si="20"/>
        <v>19.899999999999999</v>
      </c>
      <c r="O32" s="308"/>
      <c r="P32" s="422" t="s">
        <v>9</v>
      </c>
      <c r="Q32" s="96">
        <f t="shared" si="15"/>
        <v>500</v>
      </c>
      <c r="R32" s="335">
        <f>IF(500-S32-T32-U32-V32-W32&lt;0,"R$ 0,00",500-S32-T32-U32-V32-W32)</f>
        <v>51.5</v>
      </c>
      <c r="S32" s="335">
        <f>SUMIFS($B$146:$B$177,$K$146:$K$177,"AV")</f>
        <v>338.5</v>
      </c>
      <c r="T32" s="335">
        <f>SUMIFS($B$146:$B$177,$K$146:$K$177,"IT")</f>
        <v>110</v>
      </c>
      <c r="U32" s="335">
        <f>SUMIFS($B$146:$B$177,$K$146:$K$177,"IT2")</f>
        <v>0</v>
      </c>
      <c r="V32" s="335">
        <f>SUMIFS($B$146:$B$177,$K$146:$K$177,"ITP")</f>
        <v>0</v>
      </c>
      <c r="W32" s="335">
        <f>SUMIFS($B$146:$B$177,$K$146:$K$177,"C6")</f>
        <v>0</v>
      </c>
      <c r="X32" s="308"/>
      <c r="Y32" s="200" t="str">
        <f t="shared" si="0"/>
        <v/>
      </c>
      <c r="Z32" s="320" t="str">
        <f t="shared" si="3"/>
        <v/>
      </c>
      <c r="AA32" s="33" t="str">
        <f t="shared" si="4"/>
        <v/>
      </c>
      <c r="AB32" s="99" t="str">
        <f t="shared" si="1"/>
        <v/>
      </c>
      <c r="AC32" s="313"/>
      <c r="AD32" s="217"/>
      <c r="AE32" s="315"/>
      <c r="AF32" s="48"/>
      <c r="AG32" s="17"/>
      <c r="AH32" s="13"/>
      <c r="AQ32" s="18"/>
      <c r="AR32" s="3"/>
      <c r="AS32" s="3"/>
      <c r="AT32" s="3"/>
      <c r="AU32" s="3"/>
      <c r="AV32" s="3"/>
      <c r="AW32" s="3"/>
      <c r="AX32" s="3"/>
      <c r="AY32" s="3"/>
      <c r="BA32" s="5"/>
      <c r="BB32" s="5"/>
    </row>
    <row r="33" spans="2:54" ht="15" customHeight="1">
      <c r="B33" s="337">
        <v>34.9</v>
      </c>
      <c r="C33" s="389"/>
      <c r="D33" s="178" t="s">
        <v>175</v>
      </c>
      <c r="E33" s="58" t="str">
        <f t="shared" si="16"/>
        <v/>
      </c>
      <c r="F33" s="351" t="s">
        <v>2</v>
      </c>
      <c r="G33" s="343">
        <f t="shared" si="17"/>
        <v>34.9</v>
      </c>
      <c r="H33" s="344" t="str">
        <f t="shared" si="18"/>
        <v/>
      </c>
      <c r="I33" s="343" t="str">
        <f t="shared" si="21"/>
        <v>TV</v>
      </c>
      <c r="J33" s="383" t="s">
        <v>94</v>
      </c>
      <c r="K33" s="351" t="s">
        <v>118</v>
      </c>
      <c r="L33" s="384" t="str">
        <f t="shared" si="19"/>
        <v>8</v>
      </c>
      <c r="M33" s="354"/>
      <c r="N33" s="348">
        <f t="shared" si="20"/>
        <v>34.9</v>
      </c>
      <c r="O33" s="308"/>
      <c r="P33" s="421" t="s">
        <v>238</v>
      </c>
      <c r="Q33" s="96">
        <f t="shared" si="15"/>
        <v>882.31000000000006</v>
      </c>
      <c r="R33" s="335"/>
      <c r="S33" s="335">
        <f>SUMIFS($B$85:$B$99,$K$85:$K$99,"AV")</f>
        <v>82.21</v>
      </c>
      <c r="T33" s="335">
        <f>SUMIFS($B$85:$B$99,$K$85:$K$99,"IT")</f>
        <v>800.1</v>
      </c>
      <c r="U33" s="335">
        <f>SUMIFS($B$85:$B$99,$K$85:$K$99,"IT2")</f>
        <v>0</v>
      </c>
      <c r="V33" s="335">
        <f>SUMIFS($B$85:$B$99,$K$85:$K$99,"ITP")</f>
        <v>0</v>
      </c>
      <c r="W33" s="335">
        <f>SUMIFS($B$85:$B$99,$K$85:$K$99,"C6")</f>
        <v>0</v>
      </c>
      <c r="X33" s="308"/>
      <c r="Y33" s="200" t="str">
        <f t="shared" si="0"/>
        <v/>
      </c>
      <c r="Z33" s="320" t="str">
        <f t="shared" si="3"/>
        <v/>
      </c>
      <c r="AA33" s="33" t="str">
        <f t="shared" si="4"/>
        <v/>
      </c>
      <c r="AB33" s="99" t="str">
        <f t="shared" si="1"/>
        <v/>
      </c>
      <c r="AC33" s="313"/>
      <c r="AD33" s="217"/>
      <c r="AE33" s="315"/>
      <c r="AF33" s="48"/>
      <c r="AG33" s="5"/>
      <c r="AH33" s="5"/>
      <c r="BA33" s="5"/>
      <c r="BB33" s="5"/>
    </row>
    <row r="34" spans="2:54" ht="15" customHeight="1">
      <c r="B34" s="337">
        <v>24.9</v>
      </c>
      <c r="C34" s="191">
        <v>46288</v>
      </c>
      <c r="D34" s="185" t="s">
        <v>167</v>
      </c>
      <c r="E34" s="58" t="str">
        <f t="shared" ref="E34:E35" si="22">IF(OR(B34="",F34="Pago"),"",B34)</f>
        <v/>
      </c>
      <c r="F34" s="351" t="s">
        <v>2</v>
      </c>
      <c r="G34" s="351" t="s">
        <v>2</v>
      </c>
      <c r="H34" s="351" t="s">
        <v>2</v>
      </c>
      <c r="I34" s="351" t="s">
        <v>2</v>
      </c>
      <c r="J34" s="383" t="s">
        <v>98</v>
      </c>
      <c r="K34" s="351" t="s">
        <v>90</v>
      </c>
      <c r="L34" s="384" t="str">
        <f t="shared" ref="L34:L35" si="23">IF(K34="AV","8",IF(AND(G34="",H34=""),"",IF(G34=H34,"P",IF(G34&lt;&gt;H34,"O"))))</f>
        <v>P</v>
      </c>
      <c r="M34" s="354"/>
      <c r="N34" s="348">
        <f t="shared" ref="N34:N35" si="24">IF(F34="Pago",B34,"")</f>
        <v>24.9</v>
      </c>
      <c r="O34" s="308"/>
      <c r="P34" s="421" t="s">
        <v>28</v>
      </c>
      <c r="Q34" s="96">
        <f t="shared" si="15"/>
        <v>83.49</v>
      </c>
      <c r="R34" s="335"/>
      <c r="S34" s="335">
        <f>SUMIFS($B$111:$B$118,$K$111:$K$118,"AV")</f>
        <v>0</v>
      </c>
      <c r="T34" s="335">
        <f>SUMIFS($B$111:$B$118,$K$111:$K$118,"IT")</f>
        <v>83.49</v>
      </c>
      <c r="U34" s="335">
        <f>SUMIFS($B$111:$B$118,$K$111:$K$118,"IT2")</f>
        <v>0</v>
      </c>
      <c r="V34" s="335">
        <f>SUMIFS($B$111:$B$118,$K$111:$K$118,"ITP")</f>
        <v>0</v>
      </c>
      <c r="W34" s="335">
        <f>SUMIFS($B$111:$B$118,$K$111:$K$118,"C6")</f>
        <v>0</v>
      </c>
      <c r="X34" s="308"/>
      <c r="Y34" s="200" t="str">
        <f t="shared" si="0"/>
        <v/>
      </c>
      <c r="Z34" s="320" t="str">
        <f t="shared" si="3"/>
        <v/>
      </c>
      <c r="AA34" s="33" t="str">
        <f t="shared" si="4"/>
        <v/>
      </c>
      <c r="AB34" s="99" t="str">
        <f t="shared" si="1"/>
        <v/>
      </c>
      <c r="AC34" s="313"/>
      <c r="AD34" s="217"/>
      <c r="AE34" s="315"/>
      <c r="AF34" s="48"/>
      <c r="AG34" s="5"/>
      <c r="AH34" s="5"/>
      <c r="BA34" s="5"/>
      <c r="BB34" s="5"/>
    </row>
    <row r="35" spans="2:54" ht="15" customHeight="1">
      <c r="B35" s="337">
        <v>4.1500000000000004</v>
      </c>
      <c r="C35" s="191">
        <v>46303</v>
      </c>
      <c r="D35" s="185" t="s">
        <v>376</v>
      </c>
      <c r="E35" s="58" t="str">
        <f t="shared" si="22"/>
        <v/>
      </c>
      <c r="F35" s="351" t="s">
        <v>2</v>
      </c>
      <c r="G35" s="343">
        <f t="shared" ref="G35" si="25">IF(B35="","",B35+C35)</f>
        <v>46307.15</v>
      </c>
      <c r="H35" s="344">
        <f>IFERROR(VLOOKUP(G35,$Z$5:$Z$174,1,0),"")</f>
        <v>46307.15</v>
      </c>
      <c r="I35" s="343" t="str">
        <f t="shared" ref="I35" si="26">IF(OR(G35&lt;&gt;"",H35&lt;&gt;""),"TV","")</f>
        <v>TV</v>
      </c>
      <c r="J35" s="383" t="s">
        <v>94</v>
      </c>
      <c r="K35" s="351" t="s">
        <v>8</v>
      </c>
      <c r="L35" s="384" t="str">
        <f t="shared" si="23"/>
        <v>P</v>
      </c>
      <c r="M35" s="365"/>
      <c r="N35" s="348">
        <f t="shared" si="24"/>
        <v>4.1500000000000004</v>
      </c>
      <c r="O35" s="308"/>
      <c r="P35" s="421" t="s">
        <v>37</v>
      </c>
      <c r="Q35" s="96">
        <f t="shared" si="15"/>
        <v>28.91</v>
      </c>
      <c r="R35" s="335"/>
      <c r="S35" s="335">
        <f>SUMIFS($B$103:$B$107,$K$103:$K$107,"AV")</f>
        <v>0</v>
      </c>
      <c r="T35" s="335">
        <f>SUMIFS($B$103:$B$107,$K$103:$K$107,"IT")</f>
        <v>28.91</v>
      </c>
      <c r="U35" s="335">
        <f>SUMIFS($B$103:$B$107,$K$103:$K$107,"IT2")</f>
        <v>0</v>
      </c>
      <c r="V35" s="335">
        <f>SUMIFS($B$103:$B$107,$K$103:$K$107,"ITP")</f>
        <v>0</v>
      </c>
      <c r="W35" s="335">
        <f>SUMIFS($B$103:$B$107,$K$103:$K$107,"C6")</f>
        <v>0</v>
      </c>
      <c r="X35" s="308"/>
      <c r="Y35" s="200" t="str">
        <f t="shared" si="0"/>
        <v/>
      </c>
      <c r="Z35" s="320" t="str">
        <f t="shared" si="3"/>
        <v/>
      </c>
      <c r="AA35" s="33" t="str">
        <f t="shared" si="4"/>
        <v/>
      </c>
      <c r="AB35" s="99" t="str">
        <f t="shared" si="1"/>
        <v/>
      </c>
      <c r="AC35" s="313"/>
      <c r="AD35" s="217"/>
      <c r="AE35" s="315"/>
      <c r="AF35" s="48"/>
      <c r="AG35" s="5"/>
      <c r="AH35" s="5"/>
      <c r="BA35" s="5"/>
      <c r="BB35" s="5"/>
    </row>
    <row r="36" spans="2:54" ht="15" customHeight="1">
      <c r="B36" s="337"/>
      <c r="C36" s="191"/>
      <c r="D36" s="185"/>
      <c r="E36" s="58"/>
      <c r="F36" s="351"/>
      <c r="G36" s="343"/>
      <c r="H36" s="344"/>
      <c r="I36" s="343"/>
      <c r="J36" s="383"/>
      <c r="K36" s="351"/>
      <c r="L36" s="384"/>
      <c r="M36" s="365"/>
      <c r="N36" s="348"/>
      <c r="O36" s="308"/>
      <c r="P36" s="421" t="s">
        <v>21</v>
      </c>
      <c r="Q36" s="96">
        <f t="shared" si="15"/>
        <v>1046.3599999999999</v>
      </c>
      <c r="R36" s="335"/>
      <c r="S36" s="335">
        <f>SUMIFS($B$134:$B$142,$K$134:$K$142,"AV")</f>
        <v>150</v>
      </c>
      <c r="T36" s="335">
        <f>SUMIFS($B$134:$B$142,$K$134:$K$142,"IT")</f>
        <v>876.5</v>
      </c>
      <c r="U36" s="335">
        <f>SUMIFS($B$134:$B$142,$K$134:$K$142,"IT2")</f>
        <v>0</v>
      </c>
      <c r="V36" s="335">
        <f>SUMIFS($B$134:$B$142,$K$134:$K$142,"ITP")</f>
        <v>0</v>
      </c>
      <c r="W36" s="335">
        <f>SUMIFS($B$134:$B$142,$K$134:$K$142,"C6")</f>
        <v>19.86</v>
      </c>
      <c r="X36" s="308"/>
      <c r="Y36" s="200" t="str">
        <f t="shared" si="0"/>
        <v/>
      </c>
      <c r="Z36" s="320" t="str">
        <f t="shared" si="3"/>
        <v/>
      </c>
      <c r="AA36" s="33" t="str">
        <f t="shared" si="4"/>
        <v/>
      </c>
      <c r="AB36" s="99" t="str">
        <f t="shared" si="1"/>
        <v/>
      </c>
      <c r="AC36" s="313"/>
      <c r="AD36" s="217"/>
      <c r="AE36" s="315"/>
      <c r="AF36" s="48"/>
      <c r="AG36" s="5"/>
      <c r="AH36" s="5"/>
      <c r="BA36" s="5"/>
      <c r="BB36" s="5"/>
    </row>
    <row r="37" spans="2:54" ht="15" customHeight="1">
      <c r="B37" s="338"/>
      <c r="C37" s="215"/>
      <c r="D37" s="216"/>
      <c r="E37" s="67" t="str">
        <f t="shared" si="16"/>
        <v/>
      </c>
      <c r="F37" s="356"/>
      <c r="G37" s="343" t="str">
        <f t="shared" si="17"/>
        <v/>
      </c>
      <c r="H37" s="344" t="str">
        <f>IFERROR(VLOOKUP(G37,$Z$5:$Z$174,1,0),"")</f>
        <v/>
      </c>
      <c r="I37" s="345" t="str">
        <f t="shared" si="21"/>
        <v/>
      </c>
      <c r="J37" s="358"/>
      <c r="K37" s="356"/>
      <c r="L37" s="359" t="str">
        <f t="shared" si="19"/>
        <v/>
      </c>
      <c r="M37" s="368"/>
      <c r="N37" s="349" t="str">
        <f t="shared" si="20"/>
        <v/>
      </c>
      <c r="O37" s="308"/>
      <c r="P37" s="421" t="s">
        <v>13</v>
      </c>
      <c r="Q37" s="96">
        <f t="shared" si="15"/>
        <v>168.75</v>
      </c>
      <c r="R37" s="335"/>
      <c r="S37" s="335">
        <f>SUMIFS($B$122:$B$130,$K$122:$K$130,"AV")</f>
        <v>50</v>
      </c>
      <c r="T37" s="335">
        <f>SUMIFS($B$122:$B$130,$K$122:$K$130,"IT")</f>
        <v>118.75</v>
      </c>
      <c r="U37" s="335">
        <f>SUMIFS($B$122:$B$130,$K$122:$K$130,"IT2")</f>
        <v>0</v>
      </c>
      <c r="V37" s="335">
        <f>SUMIFS($B$122:$B$130,$K$122:$K$130,"ITP")</f>
        <v>0</v>
      </c>
      <c r="W37" s="335">
        <f>SUMIFS($B$122:$B$130,$K$122:$K$130,"C6")</f>
        <v>0</v>
      </c>
      <c r="X37" s="308"/>
      <c r="Y37" s="200" t="str">
        <f t="shared" ref="Y37:Y68" si="27">IFERROR(VLOOKUP(Z37,$G$12:$G$243,1,0),"")</f>
        <v/>
      </c>
      <c r="Z37" s="320" t="str">
        <f t="shared" si="3"/>
        <v/>
      </c>
      <c r="AA37" s="33" t="str">
        <f t="shared" si="4"/>
        <v/>
      </c>
      <c r="AB37" s="99" t="str">
        <f t="shared" ref="AB37:AB68" si="28">IF(Z37="","",IFERROR(VLOOKUP(Z37,$H$12:$I$243,2,0),""))</f>
        <v/>
      </c>
      <c r="AC37" s="313"/>
      <c r="AD37" s="217"/>
      <c r="AE37" s="315"/>
      <c r="AF37" s="48"/>
      <c r="AG37" s="5"/>
      <c r="AH37" s="5"/>
      <c r="BA37" s="5"/>
      <c r="BB37" s="5"/>
    </row>
    <row r="38" spans="2:54" ht="15" customHeight="1">
      <c r="B38" s="308"/>
      <c r="C38" s="308"/>
      <c r="D38" s="308"/>
      <c r="E38" s="308"/>
      <c r="F38" s="308"/>
      <c r="G38" s="308"/>
      <c r="H38" s="308"/>
      <c r="I38" s="308"/>
      <c r="J38" s="308"/>
      <c r="K38" s="308"/>
      <c r="L38" s="308"/>
      <c r="M38" s="308"/>
      <c r="N38" s="308"/>
      <c r="O38" s="308"/>
      <c r="P38" s="421" t="s">
        <v>111</v>
      </c>
      <c r="Q38" s="96">
        <f t="shared" si="15"/>
        <v>63.75</v>
      </c>
      <c r="R38" s="335"/>
      <c r="S38" s="335">
        <f>SUMIFS($B$181:$B$191,$K$181:$K$191,"AV")</f>
        <v>20</v>
      </c>
      <c r="T38" s="335">
        <f>SUMIFS($B$181:$B$191,$K$181:$K$191,"IT")</f>
        <v>0</v>
      </c>
      <c r="U38" s="335">
        <f>SUMIFS($B$181:$B$191,$K$181:$K$191,"IT2")</f>
        <v>0</v>
      </c>
      <c r="V38" s="335">
        <f>SUMIFS($B$181:$B$191,$K$181:$K$191,"ITP")</f>
        <v>0</v>
      </c>
      <c r="W38" s="335">
        <f>SUMIFS($B$181:$B$191,$K$181:$K$191,"C6")</f>
        <v>43.75</v>
      </c>
      <c r="X38" s="308"/>
      <c r="Y38" s="200" t="str">
        <f t="shared" si="27"/>
        <v/>
      </c>
      <c r="Z38" s="320" t="str">
        <f t="shared" si="3"/>
        <v/>
      </c>
      <c r="AA38" s="33" t="str">
        <f t="shared" si="4"/>
        <v/>
      </c>
      <c r="AB38" s="99" t="str">
        <f t="shared" si="28"/>
        <v/>
      </c>
      <c r="AC38" s="313"/>
      <c r="AD38" s="217"/>
      <c r="AE38" s="315"/>
      <c r="AF38" s="48"/>
      <c r="AG38" s="5"/>
      <c r="AH38" s="5"/>
      <c r="BA38" s="5"/>
      <c r="BB38" s="5"/>
    </row>
    <row r="39" spans="2:54" ht="15" customHeight="1">
      <c r="B39" s="545" t="s">
        <v>6</v>
      </c>
      <c r="C39" s="546"/>
      <c r="D39" s="547"/>
      <c r="E39" s="551">
        <f>SUM(E41:E46)</f>
        <v>0</v>
      </c>
      <c r="F39" s="552"/>
      <c r="G39" s="322"/>
      <c r="H39" s="220"/>
      <c r="I39" s="342" t="str">
        <f t="shared" si="12"/>
        <v/>
      </c>
      <c r="J39" s="699">
        <f>SUM(N41:N46)</f>
        <v>1084.45</v>
      </c>
      <c r="K39" s="699"/>
      <c r="L39" s="700"/>
      <c r="M39" s="559">
        <f>SUM(E39,J39)</f>
        <v>1084.45</v>
      </c>
      <c r="N39" s="560"/>
      <c r="O39" s="308"/>
      <c r="P39" s="417" t="s">
        <v>10</v>
      </c>
      <c r="Q39" s="96">
        <f t="shared" si="15"/>
        <v>1916.21</v>
      </c>
      <c r="R39" s="335"/>
      <c r="S39" s="335">
        <f>SUMIFS($B$195:$B$207,$K$195:$K$207,"AV")</f>
        <v>130</v>
      </c>
      <c r="T39" s="335">
        <f>SUMIFS($B$195:$B$207,$K$195:$K$207,"IT")</f>
        <v>797.26</v>
      </c>
      <c r="U39" s="335">
        <f>SUMIFS($B$195:$B$207,$K$195:$K$207,"IT2")</f>
        <v>0</v>
      </c>
      <c r="V39" s="335">
        <f>SUMIFS($B$195:$B$207,$K$195:$K$207,"ITP")</f>
        <v>0</v>
      </c>
      <c r="W39" s="335">
        <f>SUMIFS($B$195:$B$207,$K$195:$K$207,"C6")</f>
        <v>988.94999999999993</v>
      </c>
      <c r="X39" s="308"/>
      <c r="Y39" s="200" t="str">
        <f t="shared" si="27"/>
        <v/>
      </c>
      <c r="Z39" s="320" t="str">
        <f t="shared" si="3"/>
        <v/>
      </c>
      <c r="AA39" s="33" t="str">
        <f t="shared" si="4"/>
        <v/>
      </c>
      <c r="AB39" s="99" t="str">
        <f t="shared" si="28"/>
        <v/>
      </c>
      <c r="AC39" s="313"/>
      <c r="AD39" s="217"/>
      <c r="AE39" s="315"/>
      <c r="AF39" s="48"/>
      <c r="AG39" s="5"/>
      <c r="AH39" s="5"/>
      <c r="BA39" s="5"/>
      <c r="BB39" s="5"/>
    </row>
    <row r="40" spans="2:54" ht="15" customHeight="1">
      <c r="B40" s="548"/>
      <c r="C40" s="549"/>
      <c r="D40" s="550"/>
      <c r="E40" s="553"/>
      <c r="F40" s="554"/>
      <c r="G40" s="323"/>
      <c r="H40" s="222"/>
      <c r="I40" s="346" t="str">
        <f t="shared" si="12"/>
        <v/>
      </c>
      <c r="J40" s="701"/>
      <c r="K40" s="701"/>
      <c r="L40" s="702"/>
      <c r="M40" s="561"/>
      <c r="N40" s="562"/>
      <c r="O40" s="308"/>
      <c r="P40" s="417" t="s">
        <v>5</v>
      </c>
      <c r="Q40" s="96">
        <f t="shared" si="15"/>
        <v>679.13</v>
      </c>
      <c r="R40" s="335" t="str">
        <f>IF(550-S40-T40-U40-V40-W40&lt;0,"R$ 0,00",550-S40-T40-U40-V40-W40)</f>
        <v>R$ 0,00</v>
      </c>
      <c r="S40" s="335">
        <f>SUMIFS($B$211:$B$219,$K$211:$K$219,"AV")</f>
        <v>35</v>
      </c>
      <c r="T40" s="335">
        <f>SUMIFS($B$211:$B$219,$K$211:$K$219,"IT")</f>
        <v>644.13</v>
      </c>
      <c r="U40" s="335">
        <f>SUMIFS($B$211:$B$219,$K$211:$K$219,"IT2")</f>
        <v>0</v>
      </c>
      <c r="V40" s="335">
        <f>SUMIFS($B$211:$B$219,$K$211:$K$219,"ITP")</f>
        <v>0</v>
      </c>
      <c r="W40" s="335">
        <f>SUMIFS($B$211:$B$219,$K$211:$K$219,"C6")</f>
        <v>0</v>
      </c>
      <c r="X40" s="308"/>
      <c r="Y40" s="200" t="str">
        <f t="shared" si="27"/>
        <v/>
      </c>
      <c r="Z40" s="320" t="str">
        <f t="shared" si="3"/>
        <v/>
      </c>
      <c r="AA40" s="33" t="str">
        <f t="shared" si="4"/>
        <v/>
      </c>
      <c r="AB40" s="99" t="str">
        <f t="shared" si="28"/>
        <v/>
      </c>
      <c r="AC40" s="313"/>
      <c r="AD40" s="217"/>
      <c r="AE40" s="315"/>
      <c r="AF40" s="48"/>
      <c r="AG40" s="5"/>
      <c r="AH40" s="5"/>
      <c r="BA40" s="5"/>
      <c r="BB40" s="5"/>
    </row>
    <row r="41" spans="2:54" ht="15" customHeight="1">
      <c r="B41" s="337">
        <v>248.91</v>
      </c>
      <c r="C41" s="191">
        <v>46287</v>
      </c>
      <c r="D41" s="90" t="s">
        <v>47</v>
      </c>
      <c r="E41" s="58" t="str">
        <f t="shared" ref="E41:E45" si="29">IF(OR(B41="",F41="Pago"),"",B41)</f>
        <v/>
      </c>
      <c r="F41" s="351" t="s">
        <v>2</v>
      </c>
      <c r="G41" s="343">
        <f t="shared" ref="G41:G45" si="30">IF(B41="","",B41+C41)</f>
        <v>46535.91</v>
      </c>
      <c r="H41" s="344">
        <f>IFERROR(VLOOKUP(G41,$Z$5:$Z$174,1,0),"")</f>
        <v>46535.91</v>
      </c>
      <c r="I41" s="343" t="str">
        <f>IF(OR(G41&lt;&gt;"",H41&lt;&gt;""),"PRUDENTIAL","")</f>
        <v>PRUDENTIAL</v>
      </c>
      <c r="J41" s="383" t="s">
        <v>94</v>
      </c>
      <c r="K41" s="385" t="s">
        <v>99</v>
      </c>
      <c r="L41" s="384" t="str">
        <f t="shared" ref="L41:L45" si="31">IF(K41="AV","8",IF(AND(G41="",H41=""),"",IF(G41=H41,"P",IF(G41&lt;&gt;H41,"O"))))</f>
        <v>P</v>
      </c>
      <c r="M41" s="354"/>
      <c r="N41" s="347">
        <f t="shared" ref="N41:N46" si="32">IF(F41="Pago",B41,"")</f>
        <v>248.91</v>
      </c>
      <c r="O41" s="308"/>
      <c r="P41" s="423" t="s">
        <v>7</v>
      </c>
      <c r="Q41" s="96">
        <f t="shared" si="15"/>
        <v>4064.62</v>
      </c>
      <c r="R41" s="335"/>
      <c r="S41" s="335">
        <f>SUMIFS($B$223:$B$260,$K$223:$K$260,"AV")</f>
        <v>3004.8999999999996</v>
      </c>
      <c r="T41" s="398">
        <f>SUMIFS($B$223:$B$260,$K$223:$K$260,"IT")</f>
        <v>578.29999999999995</v>
      </c>
      <c r="U41" s="398">
        <f>SUMIFS($B$223:$B$260,$K$223:$K$260,"IT2")</f>
        <v>352</v>
      </c>
      <c r="V41" s="398">
        <f>SUMIFS($B$223:$B$260,$K$223:$K$260,"ITP")</f>
        <v>0</v>
      </c>
      <c r="W41" s="398">
        <f>SUMIFS($B$223:$B$260,$K$223:$K$260,"C6")</f>
        <v>129.42000000000002</v>
      </c>
      <c r="X41" s="308"/>
      <c r="Y41" s="200" t="str">
        <f t="shared" si="27"/>
        <v/>
      </c>
      <c r="Z41" s="320" t="str">
        <f t="shared" si="3"/>
        <v/>
      </c>
      <c r="AA41" s="33" t="str">
        <f t="shared" si="4"/>
        <v/>
      </c>
      <c r="AB41" s="99" t="str">
        <f t="shared" si="28"/>
        <v/>
      </c>
      <c r="AC41" s="313"/>
      <c r="AD41" s="217"/>
      <c r="AE41" s="315"/>
      <c r="AF41" s="48"/>
      <c r="AG41" s="5"/>
      <c r="AH41" s="5"/>
      <c r="BA41" s="5"/>
      <c r="BB41" s="5"/>
    </row>
    <row r="42" spans="2:54" ht="15" customHeight="1">
      <c r="B42" s="337">
        <v>12.15</v>
      </c>
      <c r="C42" s="191">
        <v>46287</v>
      </c>
      <c r="D42" s="90" t="s">
        <v>76</v>
      </c>
      <c r="E42" s="58" t="str">
        <f t="shared" si="29"/>
        <v/>
      </c>
      <c r="F42" s="351" t="s">
        <v>2</v>
      </c>
      <c r="G42" s="343">
        <f t="shared" si="30"/>
        <v>46299.15</v>
      </c>
      <c r="H42" s="344">
        <f>IFERROR(VLOOKUP(G42,$Z$5:$Z$174,1,0),"")</f>
        <v>46299.15</v>
      </c>
      <c r="I42" s="343" t="str">
        <f t="shared" ref="I42:I45" si="33">IF(OR(G42&lt;&gt;"",H42&lt;&gt;""),"PRUDENTIAL","")</f>
        <v>PRUDENTIAL</v>
      </c>
      <c r="J42" s="383" t="s">
        <v>94</v>
      </c>
      <c r="K42" s="351" t="s">
        <v>99</v>
      </c>
      <c r="L42" s="384" t="str">
        <f t="shared" si="31"/>
        <v>P</v>
      </c>
      <c r="M42" s="354"/>
      <c r="N42" s="348">
        <f t="shared" si="32"/>
        <v>12.15</v>
      </c>
      <c r="O42" s="308"/>
      <c r="P42" s="677">
        <f>SUM(Q26:Q41)</f>
        <v>18137.509999999998</v>
      </c>
      <c r="Q42" s="708"/>
      <c r="R42" s="578">
        <f t="shared" ref="R42:V42" si="34">SUM(R26:R41)</f>
        <v>251.5</v>
      </c>
      <c r="S42" s="578">
        <f t="shared" si="34"/>
        <v>9056.8499999999985</v>
      </c>
      <c r="T42" s="578">
        <f>SUM(T26:T41)</f>
        <v>6185.21</v>
      </c>
      <c r="U42" s="578">
        <f t="shared" si="34"/>
        <v>352</v>
      </c>
      <c r="V42" s="578">
        <f t="shared" si="34"/>
        <v>582.16000000000008</v>
      </c>
      <c r="W42" s="578">
        <f>SUM(W26:W41)</f>
        <v>1709.79</v>
      </c>
      <c r="X42" s="308"/>
      <c r="Y42" s="200" t="str">
        <f t="shared" si="27"/>
        <v/>
      </c>
      <c r="Z42" s="320" t="str">
        <f t="shared" si="3"/>
        <v/>
      </c>
      <c r="AA42" s="33" t="str">
        <f t="shared" si="4"/>
        <v/>
      </c>
      <c r="AB42" s="99" t="str">
        <f t="shared" si="28"/>
        <v/>
      </c>
      <c r="AC42" s="313"/>
      <c r="AD42" s="217"/>
      <c r="AE42" s="315"/>
      <c r="AF42" s="48"/>
      <c r="AG42" s="5"/>
      <c r="AH42" s="5"/>
      <c r="BA42" s="5"/>
      <c r="BB42" s="5"/>
    </row>
    <row r="43" spans="2:54" ht="15" customHeight="1">
      <c r="B43" s="337">
        <v>321.10000000000002</v>
      </c>
      <c r="C43" s="191">
        <v>46287</v>
      </c>
      <c r="D43" s="90" t="s">
        <v>77</v>
      </c>
      <c r="E43" s="58" t="str">
        <f t="shared" si="29"/>
        <v/>
      </c>
      <c r="F43" s="351" t="s">
        <v>2</v>
      </c>
      <c r="G43" s="343">
        <f t="shared" si="30"/>
        <v>46608.1</v>
      </c>
      <c r="H43" s="344">
        <f>IFERROR(VLOOKUP(G43,$Z$5:$Z$174,1,0),"")</f>
        <v>46608.1</v>
      </c>
      <c r="I43" s="343" t="str">
        <f t="shared" si="33"/>
        <v>PRUDENTIAL</v>
      </c>
      <c r="J43" s="383" t="s">
        <v>94</v>
      </c>
      <c r="K43" s="351" t="s">
        <v>99</v>
      </c>
      <c r="L43" s="384" t="str">
        <f t="shared" si="31"/>
        <v>P</v>
      </c>
      <c r="M43" s="354"/>
      <c r="N43" s="348">
        <f t="shared" si="32"/>
        <v>321.10000000000002</v>
      </c>
      <c r="O43" s="308"/>
      <c r="P43" s="692"/>
      <c r="Q43" s="720"/>
      <c r="R43" s="578"/>
      <c r="S43" s="578"/>
      <c r="T43" s="578"/>
      <c r="U43" s="578"/>
      <c r="V43" s="578"/>
      <c r="W43" s="578"/>
      <c r="X43" s="308"/>
      <c r="Y43" s="200" t="str">
        <f t="shared" si="27"/>
        <v/>
      </c>
      <c r="Z43" s="320" t="str">
        <f t="shared" si="3"/>
        <v/>
      </c>
      <c r="AA43" s="33" t="str">
        <f t="shared" si="4"/>
        <v/>
      </c>
      <c r="AB43" s="99" t="str">
        <f t="shared" si="28"/>
        <v/>
      </c>
      <c r="AC43" s="313"/>
      <c r="AD43" s="217"/>
      <c r="AE43" s="315"/>
      <c r="AF43" s="48"/>
      <c r="AG43" s="5"/>
      <c r="AH43" s="5"/>
      <c r="BA43" s="5"/>
      <c r="BB43" s="5"/>
    </row>
    <row r="44" spans="2:54" ht="15" customHeight="1">
      <c r="B44" s="337">
        <v>255.11</v>
      </c>
      <c r="C44" s="191">
        <v>46281</v>
      </c>
      <c r="D44" s="91" t="s">
        <v>57</v>
      </c>
      <c r="E44" s="58" t="str">
        <f t="shared" si="29"/>
        <v/>
      </c>
      <c r="F44" s="351" t="s">
        <v>2</v>
      </c>
      <c r="G44" s="343">
        <f t="shared" si="30"/>
        <v>46536.11</v>
      </c>
      <c r="H44" s="344">
        <f>IFERROR(VLOOKUP(G44,$Z$5:$Z$174,1,0),"")</f>
        <v>46536.11</v>
      </c>
      <c r="I44" s="343" t="str">
        <f t="shared" si="33"/>
        <v>PRUDENTIAL</v>
      </c>
      <c r="J44" s="383" t="s">
        <v>94</v>
      </c>
      <c r="K44" s="351" t="s">
        <v>8</v>
      </c>
      <c r="L44" s="384" t="str">
        <f t="shared" si="31"/>
        <v>P</v>
      </c>
      <c r="M44" s="354"/>
      <c r="N44" s="348">
        <f t="shared" si="32"/>
        <v>255.11</v>
      </c>
      <c r="O44" s="308"/>
      <c r="P44" s="692"/>
      <c r="Q44" s="720"/>
      <c r="R44" s="578"/>
      <c r="S44" s="578"/>
      <c r="T44" s="578">
        <f>SUM(T42:U43)</f>
        <v>6537.21</v>
      </c>
      <c r="U44" s="578"/>
      <c r="V44" s="578"/>
      <c r="W44" s="578"/>
      <c r="X44" s="308"/>
      <c r="Y44" s="200" t="str">
        <f t="shared" si="27"/>
        <v/>
      </c>
      <c r="Z44" s="320" t="str">
        <f t="shared" si="3"/>
        <v/>
      </c>
      <c r="AA44" s="33" t="str">
        <f t="shared" si="4"/>
        <v/>
      </c>
      <c r="AB44" s="99" t="str">
        <f t="shared" si="28"/>
        <v/>
      </c>
      <c r="AC44" s="313"/>
      <c r="AD44" s="217"/>
      <c r="AE44" s="315"/>
      <c r="AF44" s="48"/>
      <c r="AG44" s="5"/>
      <c r="AH44" s="5"/>
      <c r="BA44" s="5"/>
      <c r="BB44" s="5"/>
    </row>
    <row r="45" spans="2:54" ht="15" customHeight="1">
      <c r="B45" s="337">
        <v>247.18</v>
      </c>
      <c r="C45" s="191">
        <v>46281</v>
      </c>
      <c r="D45" s="305" t="s">
        <v>58</v>
      </c>
      <c r="E45" s="58" t="str">
        <f t="shared" si="29"/>
        <v/>
      </c>
      <c r="F45" s="351" t="s">
        <v>2</v>
      </c>
      <c r="G45" s="343">
        <f t="shared" si="30"/>
        <v>46528.18</v>
      </c>
      <c r="H45" s="344">
        <f>IFERROR(VLOOKUP(G45,$Z$5:$Z$174,1,0),"")</f>
        <v>46528.18</v>
      </c>
      <c r="I45" s="343" t="str">
        <f t="shared" si="33"/>
        <v>PRUDENTIAL</v>
      </c>
      <c r="J45" s="383" t="s">
        <v>94</v>
      </c>
      <c r="K45" s="351" t="s">
        <v>8</v>
      </c>
      <c r="L45" s="384" t="str">
        <f t="shared" si="31"/>
        <v>P</v>
      </c>
      <c r="M45" s="354"/>
      <c r="N45" s="348">
        <f t="shared" si="32"/>
        <v>247.18</v>
      </c>
      <c r="O45" s="308"/>
      <c r="P45" s="678"/>
      <c r="Q45" s="710"/>
      <c r="R45" s="578"/>
      <c r="S45" s="578"/>
      <c r="T45" s="578"/>
      <c r="U45" s="578"/>
      <c r="V45" s="578"/>
      <c r="W45" s="578"/>
      <c r="X45" s="308"/>
      <c r="Y45" s="200">
        <f t="shared" si="27"/>
        <v>46351.93</v>
      </c>
      <c r="Z45" s="320">
        <f t="shared" si="3"/>
        <v>46351.93</v>
      </c>
      <c r="AA45" s="33" t="str">
        <f t="shared" si="4"/>
        <v>P</v>
      </c>
      <c r="AB45" s="99" t="str">
        <f t="shared" si="28"/>
        <v>REF / LANCHE</v>
      </c>
      <c r="AC45" s="313">
        <v>46305</v>
      </c>
      <c r="AD45" s="217" t="s">
        <v>398</v>
      </c>
      <c r="AE45" s="315">
        <v>46.93</v>
      </c>
      <c r="AF45" s="48"/>
      <c r="AG45" s="5"/>
      <c r="AH45" s="5"/>
      <c r="BA45" s="5"/>
      <c r="BB45" s="5"/>
    </row>
    <row r="46" spans="2:54" ht="15" customHeight="1">
      <c r="B46" s="388"/>
      <c r="C46" s="215"/>
      <c r="D46" s="306"/>
      <c r="E46" s="67"/>
      <c r="F46" s="356"/>
      <c r="G46" s="343"/>
      <c r="H46" s="344"/>
      <c r="I46" s="345"/>
      <c r="J46" s="358"/>
      <c r="K46" s="356"/>
      <c r="L46" s="359"/>
      <c r="M46" s="364"/>
      <c r="N46" s="349" t="str">
        <f t="shared" si="32"/>
        <v/>
      </c>
      <c r="O46" s="312"/>
      <c r="P46" s="308"/>
      <c r="Q46" s="308"/>
      <c r="R46" s="308"/>
      <c r="S46" s="308"/>
      <c r="T46" s="308"/>
      <c r="U46" s="308"/>
      <c r="V46" s="308"/>
      <c r="W46" s="308"/>
      <c r="X46" s="308"/>
      <c r="Y46" s="200">
        <f t="shared" si="27"/>
        <v>46386.3</v>
      </c>
      <c r="Z46" s="320">
        <f t="shared" si="3"/>
        <v>46386.3</v>
      </c>
      <c r="AA46" s="33" t="str">
        <f t="shared" si="4"/>
        <v>P</v>
      </c>
      <c r="AB46" s="99" t="str">
        <f t="shared" si="28"/>
        <v>SUPER</v>
      </c>
      <c r="AC46" s="313">
        <v>46305</v>
      </c>
      <c r="AD46" s="217" t="s">
        <v>326</v>
      </c>
      <c r="AE46" s="315">
        <v>81.3</v>
      </c>
      <c r="AF46" s="48"/>
      <c r="AG46" s="5"/>
      <c r="AH46" s="5"/>
      <c r="BA46" s="5"/>
      <c r="BB46" s="5"/>
    </row>
    <row r="47" spans="2:54" ht="15" customHeight="1">
      <c r="B47" s="308"/>
      <c r="C47" s="308"/>
      <c r="D47" s="308"/>
      <c r="E47" s="308"/>
      <c r="F47" s="308"/>
      <c r="G47" s="308"/>
      <c r="H47" s="308"/>
      <c r="I47" s="308"/>
      <c r="J47" s="308"/>
      <c r="K47" s="308"/>
      <c r="L47" s="308"/>
      <c r="M47" s="308"/>
      <c r="N47" s="308"/>
      <c r="O47" s="312"/>
      <c r="P47" s="308"/>
      <c r="Q47" s="308"/>
      <c r="R47" s="308"/>
      <c r="S47" s="308"/>
      <c r="T47" s="308"/>
      <c r="U47" s="308"/>
      <c r="V47" s="308"/>
      <c r="W47" s="308"/>
      <c r="X47" s="308"/>
      <c r="Y47" s="200">
        <f t="shared" si="27"/>
        <v>46358.5</v>
      </c>
      <c r="Z47" s="320">
        <f t="shared" si="3"/>
        <v>46358.5</v>
      </c>
      <c r="AA47" s="33" t="str">
        <f t="shared" si="4"/>
        <v>P</v>
      </c>
      <c r="AB47" s="99" t="str">
        <f t="shared" si="28"/>
        <v>SUPER</v>
      </c>
      <c r="AC47" s="313">
        <v>46305</v>
      </c>
      <c r="AD47" s="217" t="s">
        <v>397</v>
      </c>
      <c r="AE47" s="315">
        <v>53.5</v>
      </c>
      <c r="AF47" s="48"/>
      <c r="AG47" s="5"/>
      <c r="AH47" s="5"/>
      <c r="BA47" s="5"/>
      <c r="BB47" s="5"/>
    </row>
    <row r="48" spans="2:54" ht="15" customHeight="1">
      <c r="B48" s="545" t="s">
        <v>127</v>
      </c>
      <c r="C48" s="546"/>
      <c r="D48" s="547"/>
      <c r="E48" s="551">
        <f>SUM(E50:E54)</f>
        <v>0</v>
      </c>
      <c r="F48" s="552"/>
      <c r="G48" s="322"/>
      <c r="H48" s="220"/>
      <c r="I48" s="342" t="str">
        <f t="shared" si="12"/>
        <v/>
      </c>
      <c r="J48" s="699">
        <f>SUM(N50:N54)</f>
        <v>0</v>
      </c>
      <c r="K48" s="699"/>
      <c r="L48" s="700"/>
      <c r="M48" s="559">
        <f>SUM(E48,J48)</f>
        <v>0</v>
      </c>
      <c r="N48" s="560"/>
      <c r="O48" s="312"/>
      <c r="P48" s="721" t="s">
        <v>306</v>
      </c>
      <c r="Q48" s="590" t="s">
        <v>379</v>
      </c>
      <c r="R48" s="723" t="s">
        <v>307</v>
      </c>
      <c r="S48" s="542" t="s">
        <v>87</v>
      </c>
      <c r="T48" s="542" t="s">
        <v>125</v>
      </c>
      <c r="U48" s="542" t="s">
        <v>124</v>
      </c>
      <c r="V48" s="542" t="s">
        <v>122</v>
      </c>
      <c r="W48" s="310"/>
      <c r="X48" s="308"/>
      <c r="Y48" s="200">
        <f t="shared" si="27"/>
        <v>46368.06</v>
      </c>
      <c r="Z48" s="320">
        <f t="shared" si="3"/>
        <v>46368.06</v>
      </c>
      <c r="AA48" s="33" t="str">
        <f t="shared" si="4"/>
        <v>P</v>
      </c>
      <c r="AB48" s="99" t="str">
        <f t="shared" si="28"/>
        <v>SUPER</v>
      </c>
      <c r="AC48" s="313">
        <v>46304</v>
      </c>
      <c r="AD48" s="217" t="s">
        <v>60</v>
      </c>
      <c r="AE48" s="315">
        <v>64.06</v>
      </c>
      <c r="AF48" s="48"/>
      <c r="AG48" s="5"/>
      <c r="AH48" s="5"/>
      <c r="BA48" s="5"/>
      <c r="BB48" s="5"/>
    </row>
    <row r="49" spans="2:54" ht="15" customHeight="1">
      <c r="B49" s="548"/>
      <c r="C49" s="549"/>
      <c r="D49" s="550"/>
      <c r="E49" s="553"/>
      <c r="F49" s="554"/>
      <c r="G49" s="323"/>
      <c r="H49" s="222"/>
      <c r="I49" s="346" t="str">
        <f t="shared" si="12"/>
        <v/>
      </c>
      <c r="J49" s="701"/>
      <c r="K49" s="701"/>
      <c r="L49" s="702"/>
      <c r="M49" s="561"/>
      <c r="N49" s="562"/>
      <c r="O49" s="308"/>
      <c r="P49" s="722"/>
      <c r="Q49" s="590"/>
      <c r="R49" s="724"/>
      <c r="S49" s="543"/>
      <c r="T49" s="543"/>
      <c r="U49" s="543"/>
      <c r="V49" s="543"/>
      <c r="W49" s="310"/>
      <c r="X49" s="308"/>
      <c r="Y49" s="200">
        <f t="shared" si="27"/>
        <v>46327.9</v>
      </c>
      <c r="Z49" s="320">
        <f t="shared" si="3"/>
        <v>46327.9</v>
      </c>
      <c r="AA49" s="33" t="str">
        <f t="shared" si="4"/>
        <v>P</v>
      </c>
      <c r="AB49" s="99" t="str">
        <f t="shared" si="28"/>
        <v>TV</v>
      </c>
      <c r="AC49" s="313">
        <v>46301</v>
      </c>
      <c r="AD49" s="289" t="s">
        <v>374</v>
      </c>
      <c r="AE49" s="315">
        <v>26.9</v>
      </c>
      <c r="AF49" s="48"/>
      <c r="AG49" s="5"/>
      <c r="AH49" s="5"/>
      <c r="BA49" s="5"/>
      <c r="BB49" s="5"/>
    </row>
    <row r="50" spans="2:54" ht="15" customHeight="1">
      <c r="B50" s="337"/>
      <c r="C50" s="191"/>
      <c r="D50" s="74"/>
      <c r="E50" s="348" t="str">
        <f>IF(OR(B50="",F50="Pago"),"",B50)</f>
        <v/>
      </c>
      <c r="F50" s="351"/>
      <c r="G50" s="343" t="str">
        <f>IF(B50="","",B50+C50)</f>
        <v/>
      </c>
      <c r="H50" s="344" t="str">
        <f>IFERROR(VLOOKUP(G50,$Z$5:$Z$174,1,0),"")</f>
        <v/>
      </c>
      <c r="I50" s="343" t="str">
        <f>IF(OR(G50&lt;&gt;"",H50&lt;&gt;""),"METRÔ","")</f>
        <v/>
      </c>
      <c r="J50" s="383"/>
      <c r="K50" s="385"/>
      <c r="L50" s="384" t="str">
        <f>IF(K50="AV","8",IF(AND(G50="",H50=""),"",IF(G50=H50,"P",IF(G50&lt;&gt;H50,"O"))))</f>
        <v/>
      </c>
      <c r="M50" s="354"/>
      <c r="N50" s="347" t="str">
        <f>IF(F50="Pago",B50,"")</f>
        <v/>
      </c>
      <c r="O50" s="308"/>
      <c r="P50" s="417" t="s">
        <v>237</v>
      </c>
      <c r="Q50" s="408"/>
      <c r="R50" s="407">
        <f t="shared" ref="R50:R65" si="35">SUM(S50:W50)</f>
        <v>3369.54</v>
      </c>
      <c r="S50" s="335"/>
      <c r="T50" s="335">
        <f>SUMIFS($B$12:$B$16,$J$12:$J$16,"F")</f>
        <v>0</v>
      </c>
      <c r="U50" s="335">
        <f>SUMIFS($B$12:$B$16,$J$12:$J$16,"J")</f>
        <v>0</v>
      </c>
      <c r="V50" s="335">
        <f>SUMIFS($B$12:$B$16,$J$12:$J$16,"G")</f>
        <v>3369.54</v>
      </c>
      <c r="W50" s="170"/>
      <c r="X50" s="308"/>
      <c r="Y50" s="200">
        <f t="shared" si="27"/>
        <v>46448</v>
      </c>
      <c r="Z50" s="320">
        <f t="shared" si="3"/>
        <v>46448</v>
      </c>
      <c r="AA50" s="33" t="str">
        <f t="shared" si="4"/>
        <v>P</v>
      </c>
      <c r="AB50" s="99" t="str">
        <f t="shared" si="28"/>
        <v>CARRO</v>
      </c>
      <c r="AC50" s="313">
        <v>46298</v>
      </c>
      <c r="AD50" s="289" t="s">
        <v>354</v>
      </c>
      <c r="AE50" s="315">
        <v>150</v>
      </c>
      <c r="AF50" s="48"/>
      <c r="AG50" s="5"/>
      <c r="AH50" s="5"/>
      <c r="BA50" s="5"/>
      <c r="BB50" s="5"/>
    </row>
    <row r="51" spans="2:54" ht="15" customHeight="1">
      <c r="B51" s="337"/>
      <c r="C51" s="191"/>
      <c r="D51" s="74"/>
      <c r="E51" s="348" t="str">
        <f t="shared" ref="E51:E54" si="36">IF(OR(B51="",F51="Pago"),"",B51)</f>
        <v/>
      </c>
      <c r="F51" s="351"/>
      <c r="G51" s="343" t="str">
        <f>IF(B51="","",B51+C51)</f>
        <v/>
      </c>
      <c r="H51" s="344" t="str">
        <f>IFERROR(VLOOKUP(G51,$Z$5:$Z$174,1,0),"")</f>
        <v/>
      </c>
      <c r="I51" s="343" t="str">
        <f t="shared" ref="I51:I54" si="37">IF(OR(G51&lt;&gt;"",H51&lt;&gt;""),"METRÔ","")</f>
        <v/>
      </c>
      <c r="J51" s="383"/>
      <c r="K51" s="351"/>
      <c r="L51" s="384" t="str">
        <f>IF(K51="AV","8",IF(AND(G51="",H51=""),"",IF(G51=H51,"P",IF(G51&lt;&gt;H51,"O"))))</f>
        <v/>
      </c>
      <c r="M51" s="354"/>
      <c r="N51" s="348" t="str">
        <f>IF(F51="Pago",B51,"")</f>
        <v/>
      </c>
      <c r="O51" s="308"/>
      <c r="P51" s="417" t="s">
        <v>106</v>
      </c>
      <c r="Q51" s="410"/>
      <c r="R51" s="407">
        <f t="shared" si="35"/>
        <v>1800</v>
      </c>
      <c r="S51" s="335"/>
      <c r="T51" s="335">
        <f>SUMIFS($B$20:$B$24,$J$20:$J$24,"F")</f>
        <v>0</v>
      </c>
      <c r="U51" s="335">
        <f>SUMIFS($B$20:$B$24,$J$20:$J$24,"J")</f>
        <v>0</v>
      </c>
      <c r="V51" s="335">
        <f>SUMIFS($B$20:$B$24,$J$20:$J$24,"G")</f>
        <v>1800</v>
      </c>
      <c r="W51" s="170"/>
      <c r="X51" s="308"/>
      <c r="Y51" s="200">
        <f t="shared" si="27"/>
        <v>46310.95</v>
      </c>
      <c r="Z51" s="320">
        <f t="shared" si="3"/>
        <v>46310.95</v>
      </c>
      <c r="AA51" s="33" t="str">
        <f t="shared" si="4"/>
        <v>P</v>
      </c>
      <c r="AB51" s="99" t="str">
        <f t="shared" si="28"/>
        <v>UBER</v>
      </c>
      <c r="AC51" s="313">
        <v>46298</v>
      </c>
      <c r="AD51" s="289" t="s">
        <v>355</v>
      </c>
      <c r="AE51" s="315">
        <v>12.95</v>
      </c>
      <c r="AF51" s="48"/>
      <c r="AG51" s="5"/>
      <c r="AH51" s="5"/>
      <c r="BA51" s="5"/>
      <c r="BB51" s="5"/>
    </row>
    <row r="52" spans="2:54" ht="15" customHeight="1">
      <c r="B52" s="337"/>
      <c r="C52" s="191"/>
      <c r="D52" s="74"/>
      <c r="E52" s="348" t="str">
        <f t="shared" si="36"/>
        <v/>
      </c>
      <c r="F52" s="351"/>
      <c r="G52" s="343" t="str">
        <f>IF(B52="","",B52+C52)</f>
        <v/>
      </c>
      <c r="H52" s="344" t="str">
        <f>IFERROR(VLOOKUP(G52,$Z$5:$Z$174,1,0),"")</f>
        <v/>
      </c>
      <c r="I52" s="343" t="str">
        <f t="shared" si="37"/>
        <v/>
      </c>
      <c r="J52" s="383"/>
      <c r="K52" s="351"/>
      <c r="L52" s="384" t="str">
        <f>IF(K52="AV","8",IF(AND(G52="",H52=""),"",IF(G52=H52,"P",IF(G52&lt;&gt;H52,"O"))))</f>
        <v/>
      </c>
      <c r="M52" s="354"/>
      <c r="N52" s="348" t="str">
        <f>IF(F52="Pago",B52,"")</f>
        <v/>
      </c>
      <c r="O52" s="308"/>
      <c r="P52" s="417" t="s">
        <v>29</v>
      </c>
      <c r="Q52" s="410"/>
      <c r="R52" s="407">
        <f t="shared" si="35"/>
        <v>1084.45</v>
      </c>
      <c r="S52" s="335"/>
      <c r="T52" s="335">
        <f>SUMIFS($B$41:$B$46,$J$41:$J$46,"F")</f>
        <v>0</v>
      </c>
      <c r="U52" s="335">
        <f>SUMIFS($B$41:$B$46,$J$41:$J$46,"J")</f>
        <v>0</v>
      </c>
      <c r="V52" s="335">
        <f>SUMIFS($B$41:$B$46,$J$41:$J$46,"G")</f>
        <v>1084.45</v>
      </c>
      <c r="W52" s="170"/>
      <c r="X52" s="308"/>
      <c r="Y52" s="200">
        <f t="shared" si="27"/>
        <v>46313.96</v>
      </c>
      <c r="Z52" s="320">
        <f t="shared" si="3"/>
        <v>46313.96</v>
      </c>
      <c r="AA52" s="33" t="str">
        <f t="shared" si="4"/>
        <v>P</v>
      </c>
      <c r="AB52" s="99" t="str">
        <f t="shared" si="28"/>
        <v>UBER</v>
      </c>
      <c r="AC52" s="313">
        <v>46298</v>
      </c>
      <c r="AD52" s="289" t="s">
        <v>356</v>
      </c>
      <c r="AE52" s="315">
        <v>15.96</v>
      </c>
      <c r="AF52" s="48"/>
      <c r="AG52" s="5"/>
      <c r="AH52" s="5"/>
      <c r="BA52" s="5"/>
      <c r="BB52" s="5"/>
    </row>
    <row r="53" spans="2:54" ht="15" customHeight="1">
      <c r="B53" s="337"/>
      <c r="C53" s="191"/>
      <c r="D53" s="74"/>
      <c r="E53" s="348" t="str">
        <f t="shared" si="36"/>
        <v/>
      </c>
      <c r="F53" s="351"/>
      <c r="G53" s="343" t="str">
        <f>IF(B53="","",B53+C53)</f>
        <v/>
      </c>
      <c r="H53" s="344" t="str">
        <f>IFERROR(VLOOKUP(G53,$Z$5:$Z$174,1,0),"")</f>
        <v/>
      </c>
      <c r="I53" s="343" t="str">
        <f t="shared" si="37"/>
        <v/>
      </c>
      <c r="J53" s="383"/>
      <c r="K53" s="351"/>
      <c r="L53" s="384" t="str">
        <f>IF(K53="AV","8",IF(AND(G53="",H53=""),"",IF(G53=H53,"P",IF(G53&lt;&gt;H53,"O"))))</f>
        <v/>
      </c>
      <c r="M53" s="354"/>
      <c r="N53" s="348" t="str">
        <f>IF(F53="Pago",B53,"")</f>
        <v/>
      </c>
      <c r="O53" s="308"/>
      <c r="P53" s="417" t="s">
        <v>16</v>
      </c>
      <c r="Q53" s="410"/>
      <c r="R53" s="407">
        <f t="shared" si="35"/>
        <v>192.55</v>
      </c>
      <c r="S53" s="335"/>
      <c r="T53" s="335">
        <f>SUMIFS($B$28:$B$37,$J$28:$J$37,"F")</f>
        <v>0</v>
      </c>
      <c r="U53" s="335">
        <f>SUMIFS($B$28:$B$37,$J$28:$J$37,"J")</f>
        <v>24.9</v>
      </c>
      <c r="V53" s="335">
        <f>SUMIFS($B$28:$B$37,$J$28:$J$37,"G")</f>
        <v>167.65</v>
      </c>
      <c r="W53" s="170"/>
      <c r="X53" s="308"/>
      <c r="Y53" s="200">
        <f t="shared" si="27"/>
        <v>46327.56</v>
      </c>
      <c r="Z53" s="320">
        <f t="shared" si="3"/>
        <v>46327.56</v>
      </c>
      <c r="AA53" s="33" t="str">
        <f t="shared" si="4"/>
        <v>P</v>
      </c>
      <c r="AB53" s="99" t="str">
        <f t="shared" si="28"/>
        <v>GUTO</v>
      </c>
      <c r="AC53" s="313">
        <v>46298</v>
      </c>
      <c r="AD53" s="289" t="s">
        <v>357</v>
      </c>
      <c r="AE53" s="315">
        <v>29.56</v>
      </c>
      <c r="AF53" s="48"/>
      <c r="AG53" s="5"/>
      <c r="AH53" s="5"/>
      <c r="BA53" s="5"/>
      <c r="BB53" s="5"/>
    </row>
    <row r="54" spans="2:54" ht="15" customHeight="1">
      <c r="B54" s="338"/>
      <c r="C54" s="215"/>
      <c r="D54" s="76"/>
      <c r="E54" s="349" t="str">
        <f t="shared" si="36"/>
        <v/>
      </c>
      <c r="F54" s="356"/>
      <c r="G54" s="345" t="str">
        <f>IF(B54="","",B54+C54)</f>
        <v/>
      </c>
      <c r="H54" s="345" t="str">
        <f>IFERROR(VLOOKUP(G54,$Z$5:$Z$174,1,0),"")</f>
        <v/>
      </c>
      <c r="I54" s="345" t="str">
        <f t="shared" si="37"/>
        <v/>
      </c>
      <c r="J54" s="358"/>
      <c r="K54" s="356"/>
      <c r="L54" s="359" t="str">
        <f>IF(K54="AV","8",IF(AND(G54="",H54=""),"",IF(G54=H54,"P",IF(G54&lt;&gt;H54,"O"))))</f>
        <v/>
      </c>
      <c r="M54" s="364"/>
      <c r="N54" s="349" t="str">
        <f>IF(F54="Pago",B54,"")</f>
        <v/>
      </c>
      <c r="O54" s="308"/>
      <c r="P54" s="417" t="s">
        <v>20</v>
      </c>
      <c r="Q54" s="410">
        <f>IF(R54&gt;1500,R54-1500,"")</f>
        <v>557.44000000000005</v>
      </c>
      <c r="R54" s="407">
        <f t="shared" si="35"/>
        <v>2057.44</v>
      </c>
      <c r="S54" s="335" t="str">
        <f>IF(1500-T54-U54-V54&lt;0,"R$ 0,00",1500-T54-U54-V54)</f>
        <v>R$ 0,00</v>
      </c>
      <c r="T54" s="335">
        <f>SUMIFS($B$58:$B$81,$J$58:$J$81,"F")</f>
        <v>0</v>
      </c>
      <c r="U54" s="335">
        <f>SUMIFS($B$58:$B$81,$J$58:$J$81,"J")</f>
        <v>0</v>
      </c>
      <c r="V54" s="335">
        <f>SUMIFS($B$58:$B$81,$J$58:$J$81,"G")</f>
        <v>2057.44</v>
      </c>
      <c r="W54" s="170"/>
      <c r="X54" s="308"/>
      <c r="Y54" s="200">
        <f t="shared" si="27"/>
        <v>46361</v>
      </c>
      <c r="Z54" s="320">
        <f t="shared" si="3"/>
        <v>46361</v>
      </c>
      <c r="AA54" s="33" t="str">
        <f t="shared" si="4"/>
        <v>P</v>
      </c>
      <c r="AB54" s="99" t="str">
        <f t="shared" si="28"/>
        <v>REF / LANCHE</v>
      </c>
      <c r="AC54" s="313">
        <v>46297</v>
      </c>
      <c r="AD54" s="289" t="s">
        <v>342</v>
      </c>
      <c r="AE54" s="315">
        <v>64</v>
      </c>
      <c r="AF54" s="48"/>
      <c r="AG54" s="5"/>
      <c r="AH54" s="5"/>
      <c r="BA54" s="5"/>
      <c r="BB54" s="5"/>
    </row>
    <row r="55" spans="2:54" ht="15" customHeight="1">
      <c r="B55" s="308"/>
      <c r="C55" s="308"/>
      <c r="D55" s="308"/>
      <c r="E55" s="308"/>
      <c r="F55" s="308"/>
      <c r="G55" s="308"/>
      <c r="H55" s="308"/>
      <c r="I55" s="308"/>
      <c r="J55" s="308"/>
      <c r="K55" s="308"/>
      <c r="L55" s="308"/>
      <c r="M55" s="308"/>
      <c r="N55" s="308"/>
      <c r="O55" s="308"/>
      <c r="P55" s="417" t="s">
        <v>44</v>
      </c>
      <c r="Q55" s="410" t="str">
        <f>IF(R55&gt;200,R55-200,"")</f>
        <v/>
      </c>
      <c r="R55" s="407">
        <f t="shared" si="35"/>
        <v>200</v>
      </c>
      <c r="S55" s="335">
        <f>IF(200-T55-U55-V55&lt;0,"R$ 0,00",200-T55-U55-V55)</f>
        <v>200</v>
      </c>
      <c r="T55" s="335">
        <f>SUMIFS($B$50:$B$54,$J$50:$J$54,"F")</f>
        <v>0</v>
      </c>
      <c r="U55" s="335">
        <f>SUMIFS($B$50:$B$54,$J$50:$J$54,"J")</f>
        <v>0</v>
      </c>
      <c r="V55" s="335">
        <f>SUMIFS($B$50:$B$54,$J$50:$J$54,"G")</f>
        <v>0</v>
      </c>
      <c r="W55" s="170"/>
      <c r="X55" s="308"/>
      <c r="Y55" s="200">
        <f t="shared" si="27"/>
        <v>46346.89</v>
      </c>
      <c r="Z55" s="320">
        <f t="shared" si="3"/>
        <v>46346.89</v>
      </c>
      <c r="AA55" s="33" t="str">
        <f t="shared" si="4"/>
        <v>P</v>
      </c>
      <c r="AB55" s="99" t="str">
        <f t="shared" si="28"/>
        <v>SUPER</v>
      </c>
      <c r="AC55" s="313">
        <v>46297</v>
      </c>
      <c r="AD55" s="289" t="s">
        <v>358</v>
      </c>
      <c r="AE55" s="315">
        <v>49.89</v>
      </c>
      <c r="AF55" s="48"/>
      <c r="AG55" s="5"/>
      <c r="AH55" s="5"/>
      <c r="BA55" s="5"/>
      <c r="BB55" s="5"/>
    </row>
    <row r="56" spans="2:54" ht="15" customHeight="1">
      <c r="B56" s="545" t="s">
        <v>298</v>
      </c>
      <c r="C56" s="546"/>
      <c r="D56" s="547"/>
      <c r="E56" s="551">
        <f>SUM(E58:E81)</f>
        <v>0</v>
      </c>
      <c r="F56" s="641"/>
      <c r="G56" s="322"/>
      <c r="H56" s="220"/>
      <c r="I56" s="206" t="str">
        <f t="shared" ref="I56:I57" si="38">IF(K56="AV","AV",IF(OR(H56="",G56=""),"","FIXO"))</f>
        <v/>
      </c>
      <c r="J56" s="718">
        <f>SUM(N58:N62)</f>
        <v>826.33999999999992</v>
      </c>
      <c r="K56" s="699"/>
      <c r="L56" s="700"/>
      <c r="M56" s="559">
        <f>SUM(E56,J56)</f>
        <v>826.33999999999992</v>
      </c>
      <c r="N56" s="560"/>
      <c r="O56" s="308"/>
      <c r="P56" s="424" t="s">
        <v>9</v>
      </c>
      <c r="Q56" s="410" t="str">
        <f>IF(R56&gt;500,R56-500,"")</f>
        <v/>
      </c>
      <c r="R56" s="407">
        <f t="shared" si="35"/>
        <v>500</v>
      </c>
      <c r="S56" s="335">
        <f>IF(500-T56-U56-V56&lt;0,"R$ 0,00",500-T56-U56-V56)</f>
        <v>51.5</v>
      </c>
      <c r="T56" s="335">
        <f>SUMIFS($B$146:$B$177,$J$146:$J$177,"F")</f>
        <v>0</v>
      </c>
      <c r="U56" s="335">
        <f>SUMIFS($B$146:$B$177,$J$146:$J$177,"J")</f>
        <v>0</v>
      </c>
      <c r="V56" s="335">
        <f>SUMIFS($B$146:$B$177,$J$146:$J$177,"G")</f>
        <v>448.5</v>
      </c>
      <c r="W56" s="170"/>
      <c r="X56" s="308"/>
      <c r="Y56" s="200">
        <f t="shared" si="27"/>
        <v>46303.360000000001</v>
      </c>
      <c r="Z56" s="320">
        <f t="shared" si="3"/>
        <v>46303.360000000001</v>
      </c>
      <c r="AA56" s="33" t="str">
        <f t="shared" si="4"/>
        <v>P</v>
      </c>
      <c r="AB56" s="99" t="str">
        <f t="shared" si="28"/>
        <v>GUTO</v>
      </c>
      <c r="AC56" s="313">
        <v>46297</v>
      </c>
      <c r="AD56" s="289" t="s">
        <v>359</v>
      </c>
      <c r="AE56" s="315">
        <v>6.36</v>
      </c>
      <c r="AF56" s="48"/>
      <c r="AG56" s="5"/>
      <c r="AH56" s="5"/>
      <c r="BA56" s="5"/>
      <c r="BB56" s="5"/>
    </row>
    <row r="57" spans="2:54" ht="15" customHeight="1">
      <c r="B57" s="548"/>
      <c r="C57" s="549"/>
      <c r="D57" s="550"/>
      <c r="E57" s="553"/>
      <c r="F57" s="642"/>
      <c r="G57" s="323"/>
      <c r="H57" s="222"/>
      <c r="I57" s="208" t="str">
        <f t="shared" si="38"/>
        <v/>
      </c>
      <c r="J57" s="719"/>
      <c r="K57" s="701"/>
      <c r="L57" s="702"/>
      <c r="M57" s="561"/>
      <c r="N57" s="562"/>
      <c r="O57" s="308"/>
      <c r="P57" s="417" t="s">
        <v>238</v>
      </c>
      <c r="Q57" s="410"/>
      <c r="R57" s="407">
        <f t="shared" si="35"/>
        <v>882.31000000000006</v>
      </c>
      <c r="S57" s="335"/>
      <c r="T57" s="335">
        <f>SUMIFS($B$85:$B$99,$J$85:$J$99,"F")</f>
        <v>0</v>
      </c>
      <c r="U57" s="335">
        <f>SUMIFS($B$85:$B$99,$J$85:$J$99,"J")</f>
        <v>0</v>
      </c>
      <c r="V57" s="335">
        <f>SUMIFS($B$85:$B$99,$J$85:$J$99,"G")</f>
        <v>882.31000000000006</v>
      </c>
      <c r="W57" s="170"/>
      <c r="X57" s="308"/>
      <c r="Y57" s="200">
        <f t="shared" si="27"/>
        <v>46650</v>
      </c>
      <c r="Z57" s="320">
        <f t="shared" si="3"/>
        <v>46650</v>
      </c>
      <c r="AA57" s="33" t="str">
        <f t="shared" si="4"/>
        <v>P</v>
      </c>
      <c r="AB57" s="99" t="str">
        <f t="shared" si="28"/>
        <v>CARRO</v>
      </c>
      <c r="AC57" s="313">
        <v>46296</v>
      </c>
      <c r="AD57" s="289" t="s">
        <v>353</v>
      </c>
      <c r="AE57" s="315">
        <v>354</v>
      </c>
      <c r="AF57" s="48"/>
      <c r="AG57" s="5"/>
      <c r="AH57" s="5"/>
      <c r="AO57" s="3"/>
      <c r="BA57" s="5"/>
      <c r="BB57" s="5"/>
    </row>
    <row r="58" spans="2:54" ht="15" customHeight="1">
      <c r="B58" s="337">
        <v>578.54999999999995</v>
      </c>
      <c r="C58" s="191">
        <v>46278</v>
      </c>
      <c r="D58" s="74" t="s">
        <v>27</v>
      </c>
      <c r="E58" s="58" t="str">
        <f>IF(OR(B58="",F58="Pago"),"",B58)</f>
        <v/>
      </c>
      <c r="F58" s="351" t="s">
        <v>2</v>
      </c>
      <c r="G58" s="343">
        <f>IF(B58="","",B58+C58)</f>
        <v>46856.55</v>
      </c>
      <c r="H58" s="344">
        <f t="shared" ref="H58:H81" si="39">IFERROR(VLOOKUP(G58,$Z$5:$Z$174,1,0),"")</f>
        <v>46856.55</v>
      </c>
      <c r="I58" s="341" t="str">
        <f>IF(OR(G58&lt;&gt;"",H58&lt;&gt;""),"SUPER","")</f>
        <v>SUPER</v>
      </c>
      <c r="J58" s="386" t="s">
        <v>94</v>
      </c>
      <c r="K58" s="385" t="s">
        <v>90</v>
      </c>
      <c r="L58" s="384" t="str">
        <f>IF(K58="AV","8",IF(AND(G58="",H58=""),"",IF(G58=H58,"P",IF(G58&lt;&gt;H58,"O"))))</f>
        <v>P</v>
      </c>
      <c r="M58" s="365"/>
      <c r="N58" s="347">
        <f>IF(F58="Pago",B58,"")</f>
        <v>578.54999999999995</v>
      </c>
      <c r="O58" s="308"/>
      <c r="P58" s="417" t="s">
        <v>28</v>
      </c>
      <c r="Q58" s="410"/>
      <c r="R58" s="407">
        <f t="shared" si="35"/>
        <v>83.49</v>
      </c>
      <c r="S58" s="335"/>
      <c r="T58" s="335">
        <f>SUMIFS($B$111:$B$118,$J$111:$J$118,"F")</f>
        <v>83.49</v>
      </c>
      <c r="U58" s="335">
        <f>SUMIFS($B$111:$B$118,$J$111:$J$118,"J")</f>
        <v>0</v>
      </c>
      <c r="V58" s="335">
        <f>SUMIFS($B$111:$B$118,$J$111:$J$118,"G")</f>
        <v>0</v>
      </c>
      <c r="W58" s="170"/>
      <c r="X58" s="308"/>
      <c r="Y58" s="200">
        <f t="shared" si="27"/>
        <v>46477.49</v>
      </c>
      <c r="Z58" s="320">
        <f t="shared" si="3"/>
        <v>46477.49</v>
      </c>
      <c r="AA58" s="33" t="str">
        <f t="shared" si="4"/>
        <v>P</v>
      </c>
      <c r="AB58" s="99" t="str">
        <f t="shared" si="28"/>
        <v>JOÃO</v>
      </c>
      <c r="AC58" s="313">
        <v>46296</v>
      </c>
      <c r="AD58" s="289" t="s">
        <v>352</v>
      </c>
      <c r="AE58" s="315">
        <v>181.49</v>
      </c>
      <c r="AF58" s="48"/>
      <c r="AG58" s="5"/>
      <c r="AH58" s="5"/>
      <c r="AO58" s="3"/>
      <c r="BA58" s="5"/>
      <c r="BB58" s="5"/>
    </row>
    <row r="59" spans="2:54" ht="15" customHeight="1">
      <c r="B59" s="337">
        <v>75.92</v>
      </c>
      <c r="C59" s="191">
        <v>46281</v>
      </c>
      <c r="D59" s="74" t="s">
        <v>276</v>
      </c>
      <c r="E59" s="58" t="str">
        <f t="shared" ref="E59:E64" si="40">IF(OR(B59="",F59="Pago"),"",B59)</f>
        <v/>
      </c>
      <c r="F59" s="351" t="s">
        <v>2</v>
      </c>
      <c r="G59" s="343">
        <f>IF(B59="","",B59+C59)</f>
        <v>46356.92</v>
      </c>
      <c r="H59" s="344">
        <f t="shared" si="39"/>
        <v>46356.92</v>
      </c>
      <c r="I59" s="343" t="str">
        <f t="shared" ref="I59:I121" si="41">IF(OR(G59&lt;&gt;"",H59&lt;&gt;""),"SUPER","")</f>
        <v>SUPER</v>
      </c>
      <c r="J59" s="387" t="s">
        <v>94</v>
      </c>
      <c r="K59" s="351" t="s">
        <v>90</v>
      </c>
      <c r="L59" s="384" t="str">
        <f>IF(K59="AV","8",IF(AND(G59="",H59=""),"",IF(G59=H59,"P",IF(G59&lt;&gt;H59,"O"))))</f>
        <v>P</v>
      </c>
      <c r="M59" s="365"/>
      <c r="N59" s="348">
        <f>IF(F59="Pago",B59,"")</f>
        <v>75.92</v>
      </c>
      <c r="O59" s="308"/>
      <c r="P59" s="417" t="s">
        <v>37</v>
      </c>
      <c r="Q59" s="410"/>
      <c r="R59" s="407">
        <f t="shared" si="35"/>
        <v>28.91</v>
      </c>
      <c r="S59" s="335"/>
      <c r="T59" s="335">
        <f>SUMIFS($B$103:$B$107,$J$103:$J$107,"F")</f>
        <v>28.91</v>
      </c>
      <c r="U59" s="335">
        <f>SUMIFS($B$103:$B$107,$J$103:$J$107,"J")</f>
        <v>0</v>
      </c>
      <c r="V59" s="335">
        <f>SUMIFS($B$103:$B$107,$J$103:$J$107,"G")</f>
        <v>0</v>
      </c>
      <c r="W59" s="170"/>
      <c r="X59" s="308"/>
      <c r="Y59" s="200">
        <f t="shared" si="27"/>
        <v>46421</v>
      </c>
      <c r="Z59" s="320">
        <f t="shared" si="3"/>
        <v>46421</v>
      </c>
      <c r="AA59" s="33" t="str">
        <f t="shared" si="4"/>
        <v>P</v>
      </c>
      <c r="AB59" s="99" t="str">
        <f t="shared" si="28"/>
        <v>GUTO</v>
      </c>
      <c r="AC59" s="313">
        <v>46296</v>
      </c>
      <c r="AD59" s="289" t="s">
        <v>351</v>
      </c>
      <c r="AE59" s="315">
        <v>125</v>
      </c>
      <c r="AF59" s="48"/>
      <c r="AG59" s="5"/>
      <c r="AH59" s="5"/>
      <c r="AO59" s="3"/>
      <c r="BA59" s="5"/>
      <c r="BB59" s="5"/>
    </row>
    <row r="60" spans="2:54" ht="15" customHeight="1">
      <c r="B60" s="337">
        <v>48.99</v>
      </c>
      <c r="C60" s="191">
        <v>46277</v>
      </c>
      <c r="D60" s="74" t="s">
        <v>69</v>
      </c>
      <c r="E60" s="58" t="str">
        <f t="shared" si="40"/>
        <v/>
      </c>
      <c r="F60" s="351" t="s">
        <v>2</v>
      </c>
      <c r="G60" s="343">
        <f>IF(B60="","",B60+C60)</f>
        <v>46325.99</v>
      </c>
      <c r="H60" s="344">
        <f t="shared" si="39"/>
        <v>46325.99</v>
      </c>
      <c r="I60" s="343" t="str">
        <f t="shared" si="41"/>
        <v>SUPER</v>
      </c>
      <c r="J60" s="387" t="s">
        <v>94</v>
      </c>
      <c r="K60" s="351" t="s">
        <v>90</v>
      </c>
      <c r="L60" s="384" t="str">
        <f>IF(K60="AV","8",IF(AND(G60="",H60=""),"",IF(G60=H60,"P",IF(G60&lt;&gt;H60,"O"))))</f>
        <v>P</v>
      </c>
      <c r="M60" s="365"/>
      <c r="N60" s="348">
        <f t="shared" ref="N60:N81" si="42">IF(F60="Pago",B60,"")</f>
        <v>48.99</v>
      </c>
      <c r="O60" s="308"/>
      <c r="P60" s="417" t="s">
        <v>21</v>
      </c>
      <c r="Q60" s="410"/>
      <c r="R60" s="407">
        <f t="shared" si="35"/>
        <v>1046.3600000000001</v>
      </c>
      <c r="S60" s="335"/>
      <c r="T60" s="335">
        <f>SUMIFS($B$134:$B$142,$J$134:$J$142,"F")</f>
        <v>0</v>
      </c>
      <c r="U60" s="335">
        <f>SUMIFS($B$134:$B$142,$J$134:$J$142,"J")</f>
        <v>0</v>
      </c>
      <c r="V60" s="335">
        <f>SUMIFS($B$134:$B$142,$J$134:$J$142,"G")</f>
        <v>1046.3600000000001</v>
      </c>
      <c r="W60" s="170"/>
      <c r="X60" s="308"/>
      <c r="Y60" s="200">
        <f t="shared" si="27"/>
        <v>46337.51</v>
      </c>
      <c r="Z60" s="320">
        <f t="shared" si="3"/>
        <v>46337.51</v>
      </c>
      <c r="AA60" s="33" t="str">
        <f t="shared" si="4"/>
        <v>P</v>
      </c>
      <c r="AB60" s="99" t="str">
        <f t="shared" si="28"/>
        <v>SUPER</v>
      </c>
      <c r="AC60" s="313">
        <v>46294</v>
      </c>
      <c r="AD60" s="289" t="s">
        <v>336</v>
      </c>
      <c r="AE60" s="315">
        <v>43.51</v>
      </c>
      <c r="AF60" s="48"/>
      <c r="AG60" s="5"/>
      <c r="AH60" s="5"/>
      <c r="AO60" s="3"/>
      <c r="BA60" s="5"/>
      <c r="BB60" s="5"/>
    </row>
    <row r="61" spans="2:54" ht="15" customHeight="1">
      <c r="B61" s="337">
        <v>35.9</v>
      </c>
      <c r="C61" s="191">
        <v>46277</v>
      </c>
      <c r="D61" s="74" t="s">
        <v>69</v>
      </c>
      <c r="E61" s="58" t="str">
        <f t="shared" si="40"/>
        <v/>
      </c>
      <c r="F61" s="351" t="s">
        <v>2</v>
      </c>
      <c r="G61" s="343">
        <f>IF(B61="","",B61+C61)</f>
        <v>46312.9</v>
      </c>
      <c r="H61" s="344">
        <f t="shared" si="39"/>
        <v>46312.9</v>
      </c>
      <c r="I61" s="343" t="str">
        <f t="shared" si="41"/>
        <v>SUPER</v>
      </c>
      <c r="J61" s="387" t="s">
        <v>94</v>
      </c>
      <c r="K61" s="351" t="s">
        <v>90</v>
      </c>
      <c r="L61" s="384" t="str">
        <f>IF(K61="AV","8",IF(AND(G61="",H61=""),"",IF(G61=H61,"P",IF(G61&lt;&gt;H61,"O"))))</f>
        <v>P</v>
      </c>
      <c r="M61" s="365"/>
      <c r="N61" s="348">
        <f t="shared" si="42"/>
        <v>35.9</v>
      </c>
      <c r="O61" s="308"/>
      <c r="P61" s="417" t="s">
        <v>13</v>
      </c>
      <c r="Q61" s="410"/>
      <c r="R61" s="407">
        <f t="shared" si="35"/>
        <v>168.75</v>
      </c>
      <c r="S61" s="335"/>
      <c r="T61" s="335">
        <f>SUMIFS($B$122:$B$130,$J$122:$J$130,"F")</f>
        <v>0</v>
      </c>
      <c r="U61" s="335">
        <f>SUMIFS($B$122:$B$130,$J$122:$J$130,"J")</f>
        <v>0</v>
      </c>
      <c r="V61" s="335">
        <f>SUMIFS($B$122:$B$130,$J$122:$J$130,"G")</f>
        <v>168.75</v>
      </c>
      <c r="W61" s="170"/>
      <c r="X61" s="308"/>
      <c r="Y61" s="200">
        <f t="shared" si="27"/>
        <v>46757.67</v>
      </c>
      <c r="Z61" s="320">
        <f t="shared" si="3"/>
        <v>46757.67</v>
      </c>
      <c r="AA61" s="33" t="str">
        <f t="shared" si="4"/>
        <v>P</v>
      </c>
      <c r="AB61" s="99" t="str">
        <f t="shared" si="28"/>
        <v>SUPER</v>
      </c>
      <c r="AC61" s="313">
        <v>46293</v>
      </c>
      <c r="AD61" s="289" t="s">
        <v>64</v>
      </c>
      <c r="AE61" s="315">
        <v>464.67</v>
      </c>
      <c r="AF61" s="48"/>
      <c r="AG61" s="5"/>
      <c r="AH61" s="5"/>
      <c r="AO61" s="3"/>
      <c r="BA61" s="5"/>
      <c r="BB61" s="5"/>
    </row>
    <row r="62" spans="2:54" ht="15" customHeight="1">
      <c r="B62" s="337">
        <v>86.98</v>
      </c>
      <c r="C62" s="191">
        <v>46277</v>
      </c>
      <c r="D62" s="74" t="s">
        <v>69</v>
      </c>
      <c r="E62" s="58" t="str">
        <f t="shared" si="40"/>
        <v/>
      </c>
      <c r="F62" s="351" t="s">
        <v>2</v>
      </c>
      <c r="G62" s="343">
        <f>IF(B62="","",B62+C62)</f>
        <v>46363.98</v>
      </c>
      <c r="H62" s="344">
        <f t="shared" si="39"/>
        <v>46363.98</v>
      </c>
      <c r="I62" s="343" t="str">
        <f t="shared" si="41"/>
        <v>SUPER</v>
      </c>
      <c r="J62" s="387" t="s">
        <v>94</v>
      </c>
      <c r="K62" s="351" t="s">
        <v>90</v>
      </c>
      <c r="L62" s="384" t="str">
        <f>IF(K62="AV","8",IF(AND(G62="",H62=""),"",IF(G62=H62,"P",IF(G62&lt;&gt;H62,"O"))))</f>
        <v>P</v>
      </c>
      <c r="M62" s="365"/>
      <c r="N62" s="348">
        <f t="shared" si="42"/>
        <v>86.98</v>
      </c>
      <c r="O62" s="308"/>
      <c r="P62" s="417" t="s">
        <v>111</v>
      </c>
      <c r="Q62" s="410"/>
      <c r="R62" s="407">
        <f t="shared" si="35"/>
        <v>63.75</v>
      </c>
      <c r="S62" s="335"/>
      <c r="T62" s="335">
        <f>SUMIFS($B$181:$B$191,$J$181:$J$191,"F")</f>
        <v>0</v>
      </c>
      <c r="U62" s="335">
        <f>SUMIFS($B$181:$B$191,$J$181:$J$191,"J")</f>
        <v>63.75</v>
      </c>
      <c r="V62" s="335">
        <f>SUMIFS($B$181:$B$191,$J$181:$J$191,"G")</f>
        <v>0</v>
      </c>
      <c r="W62" s="170"/>
      <c r="X62" s="308"/>
      <c r="Y62" s="200">
        <f t="shared" si="27"/>
        <v>46369.79</v>
      </c>
      <c r="Z62" s="320">
        <f t="shared" si="3"/>
        <v>46369.79</v>
      </c>
      <c r="AA62" s="33" t="str">
        <f t="shared" si="4"/>
        <v>P</v>
      </c>
      <c r="AB62" s="99" t="str">
        <f t="shared" si="28"/>
        <v>SUPER</v>
      </c>
      <c r="AC62" s="313">
        <v>46293</v>
      </c>
      <c r="AD62" s="289" t="s">
        <v>337</v>
      </c>
      <c r="AE62" s="315">
        <v>76.790000000000006</v>
      </c>
      <c r="AF62" s="48"/>
      <c r="AG62" s="5"/>
      <c r="AH62" s="5"/>
      <c r="AO62" s="3"/>
      <c r="BA62" s="5"/>
      <c r="BB62" s="5"/>
    </row>
    <row r="63" spans="2:54" ht="15" customHeight="1">
      <c r="B63" s="337">
        <v>124.18</v>
      </c>
      <c r="C63" s="191">
        <v>46291</v>
      </c>
      <c r="D63" s="74" t="s">
        <v>308</v>
      </c>
      <c r="E63" s="58" t="str">
        <f t="shared" si="40"/>
        <v/>
      </c>
      <c r="F63" s="351" t="s">
        <v>2</v>
      </c>
      <c r="G63" s="343">
        <f t="shared" ref="G63:G68" si="43">IF(B63="","",B63+C63)</f>
        <v>46415.18</v>
      </c>
      <c r="H63" s="344">
        <f t="shared" si="39"/>
        <v>46415.18</v>
      </c>
      <c r="I63" s="343" t="str">
        <f t="shared" si="41"/>
        <v>SUPER</v>
      </c>
      <c r="J63" s="387" t="s">
        <v>94</v>
      </c>
      <c r="K63" s="351" t="s">
        <v>90</v>
      </c>
      <c r="L63" s="384" t="str">
        <f t="shared" ref="L63:L64" si="44">IF(K63="AV","8",IF(AND(G63="",H63=""),"",IF(G63=H63,"P",IF(G63&lt;&gt;H63,"O"))))</f>
        <v>P</v>
      </c>
      <c r="M63" s="365"/>
      <c r="N63" s="348">
        <f t="shared" si="42"/>
        <v>124.18</v>
      </c>
      <c r="O63" s="308"/>
      <c r="P63" s="417" t="s">
        <v>10</v>
      </c>
      <c r="Q63" s="410"/>
      <c r="R63" s="407">
        <f t="shared" si="35"/>
        <v>1896.21</v>
      </c>
      <c r="S63" s="335"/>
      <c r="T63" s="335">
        <f>SUMIFS($B$195:$B$207,$J$195:$J$207,"F")</f>
        <v>0</v>
      </c>
      <c r="U63" s="335">
        <f>SUMIFS($B$195:$B$207,$J$195:$J$207,"J")</f>
        <v>1896.21</v>
      </c>
      <c r="V63" s="335">
        <f>SUMIFS($B$195:$B$207,$J$195:$J$207,"G")</f>
        <v>0</v>
      </c>
      <c r="W63" s="169"/>
      <c r="X63" s="308"/>
      <c r="Y63" s="200">
        <f t="shared" si="27"/>
        <v>46358.35</v>
      </c>
      <c r="Z63" s="320">
        <f t="shared" si="3"/>
        <v>46358.35</v>
      </c>
      <c r="AA63" s="33" t="str">
        <f t="shared" si="4"/>
        <v>P</v>
      </c>
      <c r="AB63" s="99" t="str">
        <f t="shared" si="28"/>
        <v>SUPER</v>
      </c>
      <c r="AC63" s="313">
        <v>46292</v>
      </c>
      <c r="AD63" s="289" t="s">
        <v>338</v>
      </c>
      <c r="AE63" s="315">
        <v>66.349999999999994</v>
      </c>
      <c r="AF63" s="48"/>
      <c r="AG63" s="5"/>
      <c r="AH63" s="5"/>
      <c r="AO63" s="3"/>
      <c r="BA63" s="5"/>
      <c r="BB63" s="5"/>
    </row>
    <row r="64" spans="2:54" ht="15" customHeight="1">
      <c r="B64" s="337">
        <v>49.3</v>
      </c>
      <c r="C64" s="191">
        <v>46291</v>
      </c>
      <c r="D64" s="74" t="s">
        <v>309</v>
      </c>
      <c r="E64" s="58" t="str">
        <f t="shared" si="40"/>
        <v/>
      </c>
      <c r="F64" s="351" t="s">
        <v>2</v>
      </c>
      <c r="G64" s="343">
        <f t="shared" si="43"/>
        <v>46340.3</v>
      </c>
      <c r="H64" s="344">
        <f t="shared" si="39"/>
        <v>46340.3</v>
      </c>
      <c r="I64" s="343" t="str">
        <f t="shared" si="41"/>
        <v>SUPER</v>
      </c>
      <c r="J64" s="387" t="s">
        <v>94</v>
      </c>
      <c r="K64" s="351" t="s">
        <v>90</v>
      </c>
      <c r="L64" s="384" t="str">
        <f t="shared" si="44"/>
        <v>P</v>
      </c>
      <c r="M64" s="365"/>
      <c r="N64" s="348">
        <f t="shared" si="42"/>
        <v>49.3</v>
      </c>
      <c r="O64" s="308"/>
      <c r="P64" s="417" t="s">
        <v>5</v>
      </c>
      <c r="Q64" s="410">
        <f>IF(R54&gt;550,R64-550,"")</f>
        <v>129.13</v>
      </c>
      <c r="R64" s="407">
        <f t="shared" si="35"/>
        <v>679.13</v>
      </c>
      <c r="S64" s="335" t="str">
        <f>IF(550-T64&lt;0,"R$ 0,00",550-T64)</f>
        <v>R$ 0,00</v>
      </c>
      <c r="T64" s="335">
        <f>SUMIFS($B$211:$B$219,$J$211:$J$219,"F")</f>
        <v>679.13</v>
      </c>
      <c r="U64" s="335">
        <f>SUMIFS($B$211:$B$219,$J$211:$J$219,"J")</f>
        <v>0</v>
      </c>
      <c r="V64" s="335">
        <f>SUMIFS($B$211:$B$219,$J$211:$J$219,"G")</f>
        <v>0</v>
      </c>
      <c r="W64" s="169"/>
      <c r="X64" s="308"/>
      <c r="Y64" s="200">
        <f t="shared" si="27"/>
        <v>46338.99</v>
      </c>
      <c r="Z64" s="320">
        <f t="shared" si="3"/>
        <v>46338.99</v>
      </c>
      <c r="AA64" s="33" t="str">
        <f t="shared" si="4"/>
        <v>P</v>
      </c>
      <c r="AB64" s="99" t="str">
        <f t="shared" si="28"/>
        <v>SUPER</v>
      </c>
      <c r="AC64" s="313">
        <v>46292</v>
      </c>
      <c r="AD64" s="289" t="s">
        <v>339</v>
      </c>
      <c r="AE64" s="315">
        <v>46.99</v>
      </c>
      <c r="AF64" s="48"/>
      <c r="AG64" s="5"/>
      <c r="AH64" s="5"/>
      <c r="AO64" s="3"/>
      <c r="BB64" s="18"/>
    </row>
    <row r="65" spans="2:54" ht="15" customHeight="1">
      <c r="B65" s="337">
        <v>46.99</v>
      </c>
      <c r="C65" s="191">
        <v>46292</v>
      </c>
      <c r="D65" s="74" t="s">
        <v>313</v>
      </c>
      <c r="E65" s="58" t="str">
        <f t="shared" ref="E65:E66" si="45">IF(OR(B65="",F65="Pago"),"",B65)</f>
        <v/>
      </c>
      <c r="F65" s="351" t="s">
        <v>2</v>
      </c>
      <c r="G65" s="343">
        <f t="shared" si="43"/>
        <v>46338.99</v>
      </c>
      <c r="H65" s="344">
        <f t="shared" si="39"/>
        <v>46338.99</v>
      </c>
      <c r="I65" s="343" t="str">
        <f t="shared" si="41"/>
        <v>SUPER</v>
      </c>
      <c r="J65" s="387" t="s">
        <v>94</v>
      </c>
      <c r="K65" s="351" t="s">
        <v>90</v>
      </c>
      <c r="L65" s="384" t="str">
        <f t="shared" ref="L65:L66" si="46">IF(K65="AV","8",IF(AND(G65="",H65=""),"",IF(G65=H65,"P",IF(G65&lt;&gt;H65,"O"))))</f>
        <v>P</v>
      </c>
      <c r="M65" s="365"/>
      <c r="N65" s="348">
        <f t="shared" si="42"/>
        <v>46.99</v>
      </c>
      <c r="O65" s="308"/>
      <c r="P65" s="425" t="s">
        <v>7</v>
      </c>
      <c r="Q65" s="409"/>
      <c r="R65" s="407">
        <f t="shared" si="35"/>
        <v>4064.6199999999994</v>
      </c>
      <c r="S65" s="335"/>
      <c r="T65" s="335">
        <f>SUMIFS($B$223:$B$260,$J$223:$J$260,"F")</f>
        <v>129.29000000000002</v>
      </c>
      <c r="U65" s="335">
        <f>SUMIFS($B$223:$B$260,$J$223:$J$260,"J")</f>
        <v>84.35</v>
      </c>
      <c r="V65" s="335">
        <f>SUMIFS($B$223:$B$260,$J$223:$J$260,"G")</f>
        <v>3850.9799999999996</v>
      </c>
      <c r="W65" s="170"/>
      <c r="X65" s="308"/>
      <c r="Y65" s="200">
        <f t="shared" si="27"/>
        <v>46328.39</v>
      </c>
      <c r="Z65" s="320">
        <f t="shared" si="3"/>
        <v>46328.39</v>
      </c>
      <c r="AA65" s="33" t="str">
        <f t="shared" si="4"/>
        <v>P</v>
      </c>
      <c r="AB65" s="99" t="str">
        <f t="shared" si="28"/>
        <v>SUPER</v>
      </c>
      <c r="AC65" s="313">
        <v>46292</v>
      </c>
      <c r="AD65" s="289" t="s">
        <v>340</v>
      </c>
      <c r="AE65" s="315">
        <v>36.39</v>
      </c>
      <c r="AF65" s="48"/>
      <c r="AG65" s="5"/>
      <c r="AH65" s="5"/>
      <c r="AO65" s="3"/>
      <c r="BB65" s="18"/>
    </row>
    <row r="66" spans="2:54" ht="15" customHeight="1">
      <c r="B66" s="337">
        <v>36.39</v>
      </c>
      <c r="C66" s="191">
        <v>46292</v>
      </c>
      <c r="D66" s="74" t="s">
        <v>313</v>
      </c>
      <c r="E66" s="58" t="str">
        <f t="shared" si="45"/>
        <v/>
      </c>
      <c r="F66" s="351" t="s">
        <v>2</v>
      </c>
      <c r="G66" s="343">
        <f t="shared" si="43"/>
        <v>46328.39</v>
      </c>
      <c r="H66" s="344">
        <f t="shared" si="39"/>
        <v>46328.39</v>
      </c>
      <c r="I66" s="343" t="str">
        <f t="shared" si="41"/>
        <v>SUPER</v>
      </c>
      <c r="J66" s="387" t="s">
        <v>94</v>
      </c>
      <c r="K66" s="351" t="s">
        <v>90</v>
      </c>
      <c r="L66" s="384" t="str">
        <f t="shared" si="46"/>
        <v>P</v>
      </c>
      <c r="M66" s="366"/>
      <c r="N66" s="348">
        <f t="shared" si="42"/>
        <v>36.39</v>
      </c>
      <c r="O66" s="308"/>
      <c r="P66" s="677">
        <f>SUM(R50:R65)</f>
        <v>18117.509999999998</v>
      </c>
      <c r="Q66" s="708"/>
      <c r="R66" s="709"/>
      <c r="S66" s="526">
        <f>SUM(S50:S65)</f>
        <v>251.5</v>
      </c>
      <c r="T66" s="526">
        <f>SUM(T50:T65)</f>
        <v>920.81999999999994</v>
      </c>
      <c r="U66" s="526">
        <f>SUM(U50:U65)</f>
        <v>2069.21</v>
      </c>
      <c r="V66" s="526">
        <f>SUM(V50:V65)</f>
        <v>14875.98</v>
      </c>
      <c r="W66" s="173"/>
      <c r="X66" s="308"/>
      <c r="Y66" s="200">
        <f t="shared" si="27"/>
        <v>46344.800000000003</v>
      </c>
      <c r="Z66" s="320">
        <f t="shared" si="3"/>
        <v>46344.800000000003</v>
      </c>
      <c r="AA66" s="33" t="str">
        <f t="shared" si="4"/>
        <v>P</v>
      </c>
      <c r="AB66" s="99" t="str">
        <f t="shared" si="28"/>
        <v>SUPER</v>
      </c>
      <c r="AC66" s="313">
        <v>46292</v>
      </c>
      <c r="AD66" s="289" t="s">
        <v>341</v>
      </c>
      <c r="AE66" s="315">
        <v>52.8</v>
      </c>
      <c r="AF66" s="48"/>
      <c r="AG66" s="5"/>
      <c r="AH66" s="5"/>
      <c r="AO66" s="3"/>
      <c r="BB66" s="18"/>
    </row>
    <row r="67" spans="2:54" ht="15" customHeight="1">
      <c r="B67" s="337">
        <v>66.349999999999994</v>
      </c>
      <c r="C67" s="191">
        <v>46292</v>
      </c>
      <c r="D67" s="74" t="s">
        <v>313</v>
      </c>
      <c r="E67" s="58" t="str">
        <f>IF(OR(B67="",F67="Pago"),"",B67)</f>
        <v/>
      </c>
      <c r="F67" s="351" t="s">
        <v>2</v>
      </c>
      <c r="G67" s="343">
        <f t="shared" si="43"/>
        <v>46358.35</v>
      </c>
      <c r="H67" s="344">
        <f t="shared" si="39"/>
        <v>46358.35</v>
      </c>
      <c r="I67" s="343" t="str">
        <f t="shared" si="41"/>
        <v>SUPER</v>
      </c>
      <c r="J67" s="387" t="s">
        <v>94</v>
      </c>
      <c r="K67" s="351" t="s">
        <v>90</v>
      </c>
      <c r="L67" s="384" t="str">
        <f>IF(K67="AV","8",IF(AND(G67="",H67=""),"",IF(G67=H67,"P",IF(G67&lt;&gt;H67,"O"))))</f>
        <v>P</v>
      </c>
      <c r="M67" s="367"/>
      <c r="N67" s="348">
        <f t="shared" si="42"/>
        <v>66.349999999999994</v>
      </c>
      <c r="O67" s="308"/>
      <c r="P67" s="678"/>
      <c r="Q67" s="710"/>
      <c r="R67" s="711"/>
      <c r="S67" s="544"/>
      <c r="T67" s="544"/>
      <c r="U67" s="544"/>
      <c r="V67" s="544"/>
      <c r="W67" s="173"/>
      <c r="X67" s="308"/>
      <c r="Y67" s="200">
        <f t="shared" si="27"/>
        <v>46365</v>
      </c>
      <c r="Z67" s="320">
        <f t="shared" si="3"/>
        <v>46365</v>
      </c>
      <c r="AA67" s="33" t="str">
        <f t="shared" si="4"/>
        <v>P</v>
      </c>
      <c r="AB67" s="99" t="str">
        <f t="shared" si="28"/>
        <v>REF / LANCHE</v>
      </c>
      <c r="AC67" s="313">
        <v>46292</v>
      </c>
      <c r="AD67" s="289" t="s">
        <v>342</v>
      </c>
      <c r="AE67" s="315">
        <v>73</v>
      </c>
      <c r="AF67" s="48"/>
      <c r="AG67" s="5"/>
      <c r="AH67" s="5"/>
      <c r="AO67" s="3"/>
      <c r="BB67" s="18"/>
    </row>
    <row r="68" spans="2:54" ht="15" customHeight="1">
      <c r="B68" s="337">
        <v>52.8</v>
      </c>
      <c r="C68" s="191">
        <v>46292</v>
      </c>
      <c r="D68" s="74" t="s">
        <v>314</v>
      </c>
      <c r="E68" s="58" t="str">
        <f>IF(OR(B68="",F68="Pago"),"",B68)</f>
        <v/>
      </c>
      <c r="F68" s="351" t="s">
        <v>2</v>
      </c>
      <c r="G68" s="343">
        <f t="shared" si="43"/>
        <v>46344.800000000003</v>
      </c>
      <c r="H68" s="344">
        <f t="shared" si="39"/>
        <v>46344.800000000003</v>
      </c>
      <c r="I68" s="343" t="str">
        <f t="shared" si="41"/>
        <v>SUPER</v>
      </c>
      <c r="J68" s="387" t="s">
        <v>94</v>
      </c>
      <c r="K68" s="351" t="s">
        <v>90</v>
      </c>
      <c r="L68" s="384" t="str">
        <f>IF(K68="AV","8",IF(AND(G68="",H68=""),"",IF(G68=H68,"P",IF(G68&lt;&gt;H68,"O"))))</f>
        <v>P</v>
      </c>
      <c r="M68" s="355"/>
      <c r="N68" s="348">
        <f t="shared" si="42"/>
        <v>52.8</v>
      </c>
      <c r="O68" s="308"/>
      <c r="P68" s="308"/>
      <c r="Q68" s="308"/>
      <c r="R68" s="308"/>
      <c r="S68" s="24"/>
      <c r="T68" s="308"/>
      <c r="U68" s="308"/>
      <c r="V68" s="308"/>
      <c r="W68" s="308"/>
      <c r="X68" s="308"/>
      <c r="Y68" s="200">
        <f t="shared" si="27"/>
        <v>46328.39</v>
      </c>
      <c r="Z68" s="320">
        <f t="shared" si="3"/>
        <v>46328.39</v>
      </c>
      <c r="AA68" s="33" t="str">
        <f t="shared" si="4"/>
        <v>P</v>
      </c>
      <c r="AB68" s="99" t="str">
        <f t="shared" si="28"/>
        <v>SUPER</v>
      </c>
      <c r="AC68" s="313">
        <v>46291</v>
      </c>
      <c r="AD68" s="289" t="s">
        <v>318</v>
      </c>
      <c r="AE68" s="315">
        <v>37.39</v>
      </c>
      <c r="AF68" s="48"/>
      <c r="AG68" s="5"/>
      <c r="AH68" s="5"/>
      <c r="AO68" s="3"/>
      <c r="BB68" s="18"/>
    </row>
    <row r="69" spans="2:54" ht="15" customHeight="1">
      <c r="B69" s="337">
        <v>76.790000000000006</v>
      </c>
      <c r="C69" s="191">
        <v>46293</v>
      </c>
      <c r="D69" s="74" t="s">
        <v>316</v>
      </c>
      <c r="E69" s="58" t="str">
        <f t="shared" ref="E69:E81" si="47">IF(OR(B69="",F69="Pago"),"",B69)</f>
        <v/>
      </c>
      <c r="F69" s="351" t="s">
        <v>2</v>
      </c>
      <c r="G69" s="343">
        <f t="shared" ref="G69:G81" si="48">IF(B69="","",B69+C69)</f>
        <v>46369.79</v>
      </c>
      <c r="H69" s="344">
        <f t="shared" si="39"/>
        <v>46369.79</v>
      </c>
      <c r="I69" s="343" t="str">
        <f t="shared" si="41"/>
        <v>SUPER</v>
      </c>
      <c r="J69" s="387" t="s">
        <v>94</v>
      </c>
      <c r="K69" s="351" t="s">
        <v>90</v>
      </c>
      <c r="L69" s="384" t="str">
        <f>IF(K69="AV","8",IF(AND(G69="",H69=""),"",IF(G69=H69,"P",IF(G69&lt;&gt;H69,"O"))))</f>
        <v>P</v>
      </c>
      <c r="M69" s="367"/>
      <c r="N69" s="348">
        <f t="shared" si="42"/>
        <v>76.790000000000006</v>
      </c>
      <c r="O69" s="308"/>
      <c r="P69" s="312"/>
      <c r="Q69" s="312"/>
      <c r="R69" s="312"/>
      <c r="S69" s="24"/>
      <c r="T69" s="308"/>
      <c r="U69" s="308"/>
      <c r="V69" s="308"/>
      <c r="W69" s="308"/>
      <c r="X69" s="308"/>
      <c r="Y69" s="200">
        <f t="shared" ref="Y69:Y105" si="49">IFERROR(VLOOKUP(Z69,$G$12:$G$243,1,0),"")</f>
        <v>46313</v>
      </c>
      <c r="Z69" s="320">
        <f t="shared" si="3"/>
        <v>46313</v>
      </c>
      <c r="AA69" s="33" t="str">
        <f t="shared" si="4"/>
        <v>P</v>
      </c>
      <c r="AB69" s="99" t="str">
        <f t="shared" ref="AB69:AB100" si="50">IF(Z69="","",IFERROR(VLOOKUP(Z69,$H$12:$I$243,2,0),""))</f>
        <v>FEIRA</v>
      </c>
      <c r="AC69" s="313">
        <v>46291</v>
      </c>
      <c r="AD69" s="289" t="s">
        <v>319</v>
      </c>
      <c r="AE69" s="315">
        <v>22</v>
      </c>
      <c r="AF69" s="48"/>
      <c r="AG69" s="5"/>
      <c r="AH69" s="5"/>
      <c r="AO69" s="3"/>
      <c r="BB69" s="18"/>
    </row>
    <row r="70" spans="2:54" ht="15" customHeight="1">
      <c r="B70" s="337">
        <v>464.67</v>
      </c>
      <c r="C70" s="191">
        <v>46293</v>
      </c>
      <c r="D70" s="74" t="s">
        <v>317</v>
      </c>
      <c r="E70" s="58" t="str">
        <f t="shared" si="47"/>
        <v/>
      </c>
      <c r="F70" s="351" t="s">
        <v>2</v>
      </c>
      <c r="G70" s="343">
        <f t="shared" si="48"/>
        <v>46757.67</v>
      </c>
      <c r="H70" s="344">
        <f t="shared" si="39"/>
        <v>46757.67</v>
      </c>
      <c r="I70" s="343" t="str">
        <f t="shared" si="41"/>
        <v>SUPER</v>
      </c>
      <c r="J70" s="387" t="s">
        <v>94</v>
      </c>
      <c r="K70" s="351" t="s">
        <v>90</v>
      </c>
      <c r="L70" s="384" t="str">
        <f>IF(K70="AV","8",IF(AND(G70="",H70=""),"",IF(G70=H70,"P",IF(G70&lt;&gt;H70,"O"))))</f>
        <v>P</v>
      </c>
      <c r="M70" s="365"/>
      <c r="N70" s="348">
        <f t="shared" si="42"/>
        <v>464.67</v>
      </c>
      <c r="O70" s="308"/>
      <c r="P70" s="308"/>
      <c r="Q70" s="308"/>
      <c r="R70" s="308"/>
      <c r="S70" s="308"/>
      <c r="T70" s="308"/>
      <c r="U70" s="308"/>
      <c r="V70" s="308"/>
      <c r="W70" s="308"/>
      <c r="X70" s="308"/>
      <c r="Y70" s="200">
        <f t="shared" si="49"/>
        <v>46296</v>
      </c>
      <c r="Z70" s="320">
        <f t="shared" ref="Z70:Z133" si="51">IF(AE70="","",AC70+AE70)</f>
        <v>46296</v>
      </c>
      <c r="AA70" s="33" t="str">
        <f t="shared" ref="AA70:AA133" si="52">IF(AND(Y70="",Z70=""),"",IF(Y70=Z70,"P",IF(Y70&lt;&gt;Z70,"O")))</f>
        <v>P</v>
      </c>
      <c r="AB70" s="99" t="str">
        <f t="shared" si="50"/>
        <v>FEIRA</v>
      </c>
      <c r="AC70" s="313">
        <v>46291</v>
      </c>
      <c r="AD70" s="289" t="s">
        <v>320</v>
      </c>
      <c r="AE70" s="315">
        <v>5</v>
      </c>
      <c r="AF70" s="48"/>
      <c r="AG70" s="5"/>
      <c r="AH70" s="5"/>
      <c r="AO70" s="3"/>
      <c r="BB70" s="18"/>
    </row>
    <row r="71" spans="2:54" ht="15" customHeight="1">
      <c r="B71" s="337">
        <v>43.51</v>
      </c>
      <c r="C71" s="191">
        <v>46294</v>
      </c>
      <c r="D71" s="74" t="s">
        <v>343</v>
      </c>
      <c r="E71" s="58" t="str">
        <f t="shared" si="47"/>
        <v/>
      </c>
      <c r="F71" s="351" t="s">
        <v>2</v>
      </c>
      <c r="G71" s="343">
        <f t="shared" si="48"/>
        <v>46337.51</v>
      </c>
      <c r="H71" s="344">
        <f t="shared" si="39"/>
        <v>46337.51</v>
      </c>
      <c r="I71" s="343" t="str">
        <f t="shared" si="41"/>
        <v>SUPER</v>
      </c>
      <c r="J71" s="387" t="s">
        <v>94</v>
      </c>
      <c r="K71" s="351" t="s">
        <v>90</v>
      </c>
      <c r="L71" s="384" t="str">
        <f t="shared" ref="L71:L81" si="53">IF(K71="AV","8",IF(AND(G71="",H71=""),"",IF(G71=H71,"P",IF(G71&lt;&gt;H71,"O"))))</f>
        <v>P</v>
      </c>
      <c r="M71" s="365"/>
      <c r="N71" s="348">
        <f t="shared" si="42"/>
        <v>43.51</v>
      </c>
      <c r="O71" s="308"/>
      <c r="P71" s="308"/>
      <c r="Q71" s="308"/>
      <c r="R71" s="308"/>
      <c r="S71" s="308"/>
      <c r="T71" s="308"/>
      <c r="U71" s="308"/>
      <c r="V71" s="312"/>
      <c r="W71" s="308"/>
      <c r="X71" s="308"/>
      <c r="Y71" s="200">
        <f t="shared" si="49"/>
        <v>46415.18</v>
      </c>
      <c r="Z71" s="320">
        <f t="shared" si="51"/>
        <v>46415.18</v>
      </c>
      <c r="AA71" s="33" t="str">
        <f t="shared" si="52"/>
        <v>P</v>
      </c>
      <c r="AB71" s="99" t="str">
        <f t="shared" si="50"/>
        <v>SUPER</v>
      </c>
      <c r="AC71" s="313">
        <v>46291</v>
      </c>
      <c r="AD71" s="289" t="s">
        <v>321</v>
      </c>
      <c r="AE71" s="315">
        <v>124.18</v>
      </c>
      <c r="AF71" s="48"/>
      <c r="AH71" s="5"/>
      <c r="AP71" s="18"/>
      <c r="AQ71" s="3"/>
      <c r="BA71" s="5"/>
      <c r="BB71" s="5"/>
    </row>
    <row r="72" spans="2:54" ht="15" customHeight="1">
      <c r="B72" s="337">
        <v>49.89</v>
      </c>
      <c r="C72" s="191">
        <v>46297</v>
      </c>
      <c r="D72" s="74" t="s">
        <v>360</v>
      </c>
      <c r="E72" s="58" t="str">
        <f t="shared" si="47"/>
        <v/>
      </c>
      <c r="F72" s="351" t="s">
        <v>2</v>
      </c>
      <c r="G72" s="343">
        <f t="shared" si="48"/>
        <v>46346.89</v>
      </c>
      <c r="H72" s="344">
        <f t="shared" si="39"/>
        <v>46346.89</v>
      </c>
      <c r="I72" s="343" t="str">
        <f t="shared" si="41"/>
        <v>SUPER</v>
      </c>
      <c r="J72" s="387" t="s">
        <v>94</v>
      </c>
      <c r="K72" s="351" t="s">
        <v>90</v>
      </c>
      <c r="L72" s="384" t="str">
        <f t="shared" si="53"/>
        <v>P</v>
      </c>
      <c r="M72" s="365"/>
      <c r="N72" s="348">
        <f t="shared" si="42"/>
        <v>49.89</v>
      </c>
      <c r="O72" s="308"/>
      <c r="P72" s="308"/>
      <c r="Q72" s="308"/>
      <c r="R72" s="308"/>
      <c r="S72" s="308"/>
      <c r="T72" s="308"/>
      <c r="U72" s="308"/>
      <c r="V72" s="308"/>
      <c r="W72" s="308"/>
      <c r="X72" s="308"/>
      <c r="Y72" s="200">
        <f t="shared" si="49"/>
        <v>46296</v>
      </c>
      <c r="Z72" s="320">
        <f t="shared" si="51"/>
        <v>46296</v>
      </c>
      <c r="AA72" s="33" t="str">
        <f t="shared" si="52"/>
        <v>P</v>
      </c>
      <c r="AB72" s="99" t="str">
        <f t="shared" si="50"/>
        <v>FEIRA</v>
      </c>
      <c r="AC72" s="313">
        <v>46291</v>
      </c>
      <c r="AD72" s="289" t="s">
        <v>322</v>
      </c>
      <c r="AE72" s="315">
        <v>5</v>
      </c>
      <c r="AF72" s="48"/>
      <c r="AH72" s="5"/>
      <c r="AP72" s="18"/>
      <c r="AQ72" s="3"/>
      <c r="BA72" s="5"/>
      <c r="BB72" s="5"/>
    </row>
    <row r="73" spans="2:54" ht="15" customHeight="1">
      <c r="B73" s="337">
        <v>64.06</v>
      </c>
      <c r="C73" s="191">
        <v>46304</v>
      </c>
      <c r="D73" s="74" t="s">
        <v>276</v>
      </c>
      <c r="E73" s="58" t="str">
        <f t="shared" si="47"/>
        <v/>
      </c>
      <c r="F73" s="351" t="s">
        <v>2</v>
      </c>
      <c r="G73" s="343">
        <f t="shared" si="48"/>
        <v>46368.06</v>
      </c>
      <c r="H73" s="344">
        <f t="shared" si="39"/>
        <v>46368.06</v>
      </c>
      <c r="I73" s="343" t="str">
        <f t="shared" si="41"/>
        <v>SUPER</v>
      </c>
      <c r="J73" s="387" t="s">
        <v>94</v>
      </c>
      <c r="K73" s="351" t="s">
        <v>90</v>
      </c>
      <c r="L73" s="384" t="str">
        <f t="shared" si="53"/>
        <v>P</v>
      </c>
      <c r="M73" s="365"/>
      <c r="N73" s="348">
        <f t="shared" si="42"/>
        <v>64.06</v>
      </c>
      <c r="O73" s="308"/>
      <c r="P73" s="308"/>
      <c r="Q73" s="308"/>
      <c r="R73" s="308"/>
      <c r="S73" s="308"/>
      <c r="T73" s="308"/>
      <c r="U73" s="308"/>
      <c r="V73" s="308"/>
      <c r="W73" s="308"/>
      <c r="X73" s="308"/>
      <c r="Y73" s="200">
        <f t="shared" si="49"/>
        <v>46324.6</v>
      </c>
      <c r="Z73" s="320">
        <f t="shared" si="51"/>
        <v>46324.6</v>
      </c>
      <c r="AA73" s="33" t="str">
        <f t="shared" si="52"/>
        <v>P</v>
      </c>
      <c r="AB73" s="99" t="str">
        <f t="shared" si="50"/>
        <v>REF / LANCHE</v>
      </c>
      <c r="AC73" s="313">
        <v>46291</v>
      </c>
      <c r="AD73" s="289" t="s">
        <v>323</v>
      </c>
      <c r="AE73" s="315">
        <v>33.6</v>
      </c>
      <c r="AF73" s="48"/>
      <c r="AH73" s="5"/>
      <c r="AP73" s="18"/>
      <c r="AQ73" s="3"/>
      <c r="BA73" s="5"/>
      <c r="BB73" s="5"/>
    </row>
    <row r="74" spans="2:54" ht="15" customHeight="1">
      <c r="B74" s="337">
        <v>81.3</v>
      </c>
      <c r="C74" s="191">
        <v>46305</v>
      </c>
      <c r="D74" s="74" t="s">
        <v>399</v>
      </c>
      <c r="E74" s="58" t="str">
        <f t="shared" si="47"/>
        <v/>
      </c>
      <c r="F74" s="351" t="s">
        <v>2</v>
      </c>
      <c r="G74" s="343">
        <f t="shared" si="48"/>
        <v>46386.3</v>
      </c>
      <c r="H74" s="344">
        <f t="shared" si="39"/>
        <v>46386.3</v>
      </c>
      <c r="I74" s="343" t="str">
        <f t="shared" si="41"/>
        <v>SUPER</v>
      </c>
      <c r="J74" s="387" t="s">
        <v>94</v>
      </c>
      <c r="K74" s="351" t="s">
        <v>90</v>
      </c>
      <c r="L74" s="384" t="str">
        <f t="shared" si="53"/>
        <v>P</v>
      </c>
      <c r="M74" s="365"/>
      <c r="N74" s="348">
        <f t="shared" si="42"/>
        <v>81.3</v>
      </c>
      <c r="O74" s="308"/>
      <c r="P74" s="308"/>
      <c r="Q74" s="308"/>
      <c r="R74" s="308"/>
      <c r="S74" s="308"/>
      <c r="T74" s="308"/>
      <c r="U74" s="308"/>
      <c r="V74" s="308"/>
      <c r="W74" s="308"/>
      <c r="X74" s="308"/>
      <c r="Y74" s="200">
        <f t="shared" si="49"/>
        <v>46351</v>
      </c>
      <c r="Z74" s="320">
        <f t="shared" si="51"/>
        <v>46351</v>
      </c>
      <c r="AA74" s="33" t="str">
        <f t="shared" si="52"/>
        <v>P</v>
      </c>
      <c r="AB74" s="99" t="str">
        <f t="shared" si="50"/>
        <v>FEIRA</v>
      </c>
      <c r="AC74" s="313">
        <v>46291</v>
      </c>
      <c r="AD74" s="289" t="s">
        <v>324</v>
      </c>
      <c r="AE74" s="315">
        <v>60</v>
      </c>
      <c r="AF74" s="48"/>
      <c r="AH74" s="5"/>
      <c r="AP74" s="18"/>
      <c r="AQ74" s="3"/>
      <c r="BA74" s="5"/>
      <c r="BB74" s="5"/>
    </row>
    <row r="75" spans="2:54" ht="15" customHeight="1">
      <c r="B75" s="337">
        <v>53.5</v>
      </c>
      <c r="C75" s="191">
        <v>46305</v>
      </c>
      <c r="D75" s="74" t="s">
        <v>397</v>
      </c>
      <c r="E75" s="58" t="str">
        <f t="shared" si="47"/>
        <v/>
      </c>
      <c r="F75" s="351" t="s">
        <v>2</v>
      </c>
      <c r="G75" s="343">
        <f t="shared" si="48"/>
        <v>46358.5</v>
      </c>
      <c r="H75" s="344">
        <f t="shared" si="39"/>
        <v>46358.5</v>
      </c>
      <c r="I75" s="343" t="str">
        <f t="shared" si="41"/>
        <v>SUPER</v>
      </c>
      <c r="J75" s="387" t="s">
        <v>94</v>
      </c>
      <c r="K75" s="351" t="s">
        <v>90</v>
      </c>
      <c r="L75" s="384" t="str">
        <f t="shared" si="53"/>
        <v>P</v>
      </c>
      <c r="M75" s="365"/>
      <c r="N75" s="348">
        <f t="shared" si="42"/>
        <v>53.5</v>
      </c>
      <c r="O75" s="308"/>
      <c r="P75" s="308"/>
      <c r="Q75" s="308"/>
      <c r="R75" s="308"/>
      <c r="S75" s="308"/>
      <c r="T75" s="308"/>
      <c r="U75" s="308"/>
      <c r="V75" s="308"/>
      <c r="W75" s="308"/>
      <c r="X75" s="308"/>
      <c r="Y75" s="200">
        <f t="shared" si="49"/>
        <v>46350.9</v>
      </c>
      <c r="Z75" s="320">
        <f t="shared" si="51"/>
        <v>46350.9</v>
      </c>
      <c r="AA75" s="33" t="str">
        <f t="shared" si="52"/>
        <v>P</v>
      </c>
      <c r="AB75" s="99" t="str">
        <f t="shared" si="50"/>
        <v>TV</v>
      </c>
      <c r="AC75" s="313">
        <v>46291</v>
      </c>
      <c r="AD75" s="289" t="s">
        <v>325</v>
      </c>
      <c r="AE75" s="315">
        <v>59.9</v>
      </c>
      <c r="AF75" s="48"/>
      <c r="AH75" s="5"/>
      <c r="AP75" s="18"/>
      <c r="AQ75" s="3"/>
      <c r="BA75" s="5"/>
      <c r="BB75" s="5"/>
    </row>
    <row r="76" spans="2:54" ht="15" customHeight="1">
      <c r="B76" s="337">
        <v>21.37</v>
      </c>
      <c r="C76" s="191">
        <v>46303</v>
      </c>
      <c r="D76" s="74" t="s">
        <v>415</v>
      </c>
      <c r="E76" s="58" t="str">
        <f t="shared" si="47"/>
        <v/>
      </c>
      <c r="F76" s="351" t="s">
        <v>2</v>
      </c>
      <c r="G76" s="343">
        <f t="shared" si="48"/>
        <v>46324.37</v>
      </c>
      <c r="H76" s="344">
        <f t="shared" si="39"/>
        <v>46324.37</v>
      </c>
      <c r="I76" s="343" t="str">
        <f t="shared" si="41"/>
        <v>SUPER</v>
      </c>
      <c r="J76" s="387" t="s">
        <v>94</v>
      </c>
      <c r="K76" s="351" t="s">
        <v>8</v>
      </c>
      <c r="L76" s="384" t="str">
        <f t="shared" si="53"/>
        <v>P</v>
      </c>
      <c r="M76" s="365"/>
      <c r="N76" s="348">
        <f t="shared" si="42"/>
        <v>21.37</v>
      </c>
      <c r="O76" s="308"/>
      <c r="P76" s="308"/>
      <c r="Q76" s="308"/>
      <c r="R76" s="308"/>
      <c r="S76" s="308"/>
      <c r="T76" s="308"/>
      <c r="U76" s="308"/>
      <c r="V76" s="308"/>
      <c r="W76" s="308"/>
      <c r="X76" s="308"/>
      <c r="Y76" s="200">
        <f t="shared" si="49"/>
        <v>46340.3</v>
      </c>
      <c r="Z76" s="320">
        <f t="shared" si="51"/>
        <v>46340.3</v>
      </c>
      <c r="AA76" s="33" t="str">
        <f t="shared" si="52"/>
        <v>P</v>
      </c>
      <c r="AB76" s="99" t="str">
        <f t="shared" si="50"/>
        <v>SUPER</v>
      </c>
      <c r="AC76" s="313">
        <v>46291</v>
      </c>
      <c r="AD76" s="289" t="s">
        <v>326</v>
      </c>
      <c r="AE76" s="315">
        <v>49.3</v>
      </c>
      <c r="AF76" s="48"/>
      <c r="AH76" s="5"/>
      <c r="AP76" s="18"/>
      <c r="AQ76" s="3"/>
      <c r="BA76" s="5"/>
      <c r="BB76" s="5"/>
    </row>
    <row r="77" spans="2:54" ht="15" customHeight="1">
      <c r="B77" s="337"/>
      <c r="C77" s="191"/>
      <c r="D77" s="74"/>
      <c r="E77" s="58" t="str">
        <f t="shared" si="47"/>
        <v/>
      </c>
      <c r="F77" s="351"/>
      <c r="G77" s="343" t="str">
        <f t="shared" si="48"/>
        <v/>
      </c>
      <c r="H77" s="344" t="str">
        <f t="shared" si="39"/>
        <v/>
      </c>
      <c r="I77" s="343" t="str">
        <f t="shared" si="41"/>
        <v/>
      </c>
      <c r="J77" s="387"/>
      <c r="K77" s="351"/>
      <c r="L77" s="384" t="str">
        <f t="shared" si="53"/>
        <v/>
      </c>
      <c r="M77" s="365"/>
      <c r="N77" s="348" t="str">
        <f t="shared" si="42"/>
        <v/>
      </c>
      <c r="O77" s="308"/>
      <c r="P77" s="308"/>
      <c r="Q77" s="308"/>
      <c r="R77" s="308"/>
      <c r="S77" s="308"/>
      <c r="T77" s="308"/>
      <c r="U77" s="308"/>
      <c r="V77" s="308"/>
      <c r="W77" s="308"/>
      <c r="X77" s="308"/>
      <c r="Y77" s="200">
        <f t="shared" si="49"/>
        <v>46309.07</v>
      </c>
      <c r="Z77" s="320">
        <f t="shared" si="51"/>
        <v>46309.07</v>
      </c>
      <c r="AA77" s="33" t="str">
        <f t="shared" si="52"/>
        <v>P</v>
      </c>
      <c r="AB77" s="99" t="str">
        <f t="shared" si="50"/>
        <v>REF / LANCHE</v>
      </c>
      <c r="AC77" s="313">
        <v>46291</v>
      </c>
      <c r="AD77" s="289" t="s">
        <v>327</v>
      </c>
      <c r="AE77" s="315">
        <v>18.07</v>
      </c>
      <c r="AF77" s="48"/>
      <c r="AH77" s="5"/>
      <c r="AP77" s="18"/>
      <c r="AQ77" s="3"/>
      <c r="BA77" s="5"/>
      <c r="BB77" s="5"/>
    </row>
    <row r="78" spans="2:54" ht="15" customHeight="1">
      <c r="B78" s="337"/>
      <c r="C78" s="191"/>
      <c r="D78" s="74"/>
      <c r="E78" s="58" t="str">
        <f t="shared" si="47"/>
        <v/>
      </c>
      <c r="F78" s="351"/>
      <c r="G78" s="343" t="str">
        <f t="shared" si="48"/>
        <v/>
      </c>
      <c r="H78" s="344" t="str">
        <f t="shared" si="39"/>
        <v/>
      </c>
      <c r="I78" s="343" t="str">
        <f t="shared" si="41"/>
        <v/>
      </c>
      <c r="J78" s="387"/>
      <c r="K78" s="351"/>
      <c r="L78" s="384" t="str">
        <f t="shared" si="53"/>
        <v/>
      </c>
      <c r="M78" s="365"/>
      <c r="N78" s="348" t="str">
        <f t="shared" si="42"/>
        <v/>
      </c>
      <c r="O78" s="308"/>
      <c r="P78" s="308"/>
      <c r="Q78" s="308"/>
      <c r="R78" s="308"/>
      <c r="S78" s="308"/>
      <c r="T78" s="308"/>
      <c r="U78" s="308"/>
      <c r="V78" s="308"/>
      <c r="W78" s="312"/>
      <c r="X78" s="308"/>
      <c r="Y78" s="200">
        <f t="shared" si="49"/>
        <v>46309</v>
      </c>
      <c r="Z78" s="320">
        <f t="shared" si="51"/>
        <v>46309</v>
      </c>
      <c r="AA78" s="33" t="str">
        <f t="shared" si="52"/>
        <v>P</v>
      </c>
      <c r="AB78" s="99" t="str">
        <f t="shared" si="50"/>
        <v>FEIRA</v>
      </c>
      <c r="AC78" s="313">
        <v>46291</v>
      </c>
      <c r="AD78" s="289" t="s">
        <v>328</v>
      </c>
      <c r="AE78" s="315">
        <v>18</v>
      </c>
      <c r="AF78" s="48"/>
      <c r="AH78" s="5"/>
      <c r="AP78" s="18"/>
      <c r="AQ78" s="3"/>
      <c r="BA78" s="5"/>
      <c r="BB78" s="5"/>
    </row>
    <row r="79" spans="2:54" ht="15" customHeight="1">
      <c r="B79" s="337"/>
      <c r="C79" s="191"/>
      <c r="D79" s="74"/>
      <c r="E79" s="58" t="str">
        <f t="shared" si="47"/>
        <v/>
      </c>
      <c r="F79" s="351"/>
      <c r="G79" s="343" t="str">
        <f t="shared" si="48"/>
        <v/>
      </c>
      <c r="H79" s="344" t="str">
        <f t="shared" si="39"/>
        <v/>
      </c>
      <c r="I79" s="343" t="str">
        <f t="shared" si="41"/>
        <v/>
      </c>
      <c r="J79" s="387"/>
      <c r="K79" s="351"/>
      <c r="L79" s="384" t="str">
        <f t="shared" si="53"/>
        <v/>
      </c>
      <c r="M79" s="365"/>
      <c r="N79" s="348" t="str">
        <f t="shared" si="42"/>
        <v/>
      </c>
      <c r="O79" s="308"/>
      <c r="P79" s="308"/>
      <c r="Q79" s="308"/>
      <c r="R79" s="308"/>
      <c r="S79" s="308"/>
      <c r="T79" s="308"/>
      <c r="U79" s="308"/>
      <c r="V79" s="308"/>
      <c r="W79" s="308"/>
      <c r="X79" s="308"/>
      <c r="Y79" s="200">
        <f t="shared" si="49"/>
        <v>46368.33</v>
      </c>
      <c r="Z79" s="320">
        <f t="shared" si="51"/>
        <v>46368.33</v>
      </c>
      <c r="AA79" s="33" t="str">
        <f t="shared" si="52"/>
        <v>P</v>
      </c>
      <c r="AB79" s="99" t="str">
        <f t="shared" si="50"/>
        <v>REF / LANCHE</v>
      </c>
      <c r="AC79" s="313">
        <v>46290</v>
      </c>
      <c r="AD79" s="289" t="s">
        <v>329</v>
      </c>
      <c r="AE79" s="315">
        <v>78.33</v>
      </c>
      <c r="AF79" s="48"/>
      <c r="AH79" s="5"/>
      <c r="AP79" s="18"/>
      <c r="AQ79" s="3"/>
      <c r="BA79" s="5"/>
      <c r="BB79" s="5"/>
    </row>
    <row r="80" spans="2:54" ht="15" customHeight="1">
      <c r="B80" s="337"/>
      <c r="C80" s="191"/>
      <c r="D80" s="74"/>
      <c r="E80" s="58" t="str">
        <f t="shared" si="47"/>
        <v/>
      </c>
      <c r="F80" s="351"/>
      <c r="G80" s="343" t="str">
        <f t="shared" si="48"/>
        <v/>
      </c>
      <c r="H80" s="344" t="str">
        <f t="shared" si="39"/>
        <v/>
      </c>
      <c r="I80" s="343" t="str">
        <f t="shared" si="41"/>
        <v/>
      </c>
      <c r="J80" s="387"/>
      <c r="K80" s="351"/>
      <c r="L80" s="384" t="str">
        <f t="shared" si="53"/>
        <v/>
      </c>
      <c r="M80" s="365"/>
      <c r="N80" s="348" t="str">
        <f t="shared" si="42"/>
        <v/>
      </c>
      <c r="O80" s="308"/>
      <c r="P80" s="308"/>
      <c r="Q80" s="308"/>
      <c r="R80" s="308"/>
      <c r="S80" s="308"/>
      <c r="T80" s="308"/>
      <c r="U80" s="308"/>
      <c r="V80" s="308"/>
      <c r="W80" s="308"/>
      <c r="X80" s="308"/>
      <c r="Y80" s="200">
        <f t="shared" si="49"/>
        <v>46378.79</v>
      </c>
      <c r="Z80" s="320">
        <f t="shared" si="51"/>
        <v>46378.79</v>
      </c>
      <c r="AA80" s="33" t="str">
        <f t="shared" si="52"/>
        <v>P</v>
      </c>
      <c r="AB80" s="99" t="str">
        <f t="shared" si="50"/>
        <v>REF / LANCHE</v>
      </c>
      <c r="AC80" s="313">
        <v>46288</v>
      </c>
      <c r="AD80" s="289" t="s">
        <v>330</v>
      </c>
      <c r="AE80" s="315">
        <v>90.79</v>
      </c>
      <c r="AF80" s="48"/>
      <c r="AG80" s="5"/>
      <c r="AH80" s="5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B80" s="18"/>
    </row>
    <row r="81" spans="2:55" ht="15" customHeight="1">
      <c r="B81" s="338"/>
      <c r="C81" s="215"/>
      <c r="D81" s="76"/>
      <c r="E81" s="67" t="str">
        <f t="shared" si="47"/>
        <v/>
      </c>
      <c r="F81" s="356"/>
      <c r="G81" s="345" t="str">
        <f t="shared" si="48"/>
        <v/>
      </c>
      <c r="H81" s="346" t="str">
        <f t="shared" si="39"/>
        <v/>
      </c>
      <c r="I81" s="345" t="str">
        <f t="shared" si="41"/>
        <v/>
      </c>
      <c r="J81" s="357"/>
      <c r="K81" s="356"/>
      <c r="L81" s="359" t="str">
        <f t="shared" si="53"/>
        <v/>
      </c>
      <c r="M81" s="364"/>
      <c r="N81" s="349" t="str">
        <f t="shared" si="42"/>
        <v/>
      </c>
      <c r="O81" s="308"/>
      <c r="P81" s="308"/>
      <c r="Q81" s="308"/>
      <c r="R81" s="308"/>
      <c r="S81" s="308"/>
      <c r="T81" s="308"/>
      <c r="U81" s="308"/>
      <c r="V81" s="308"/>
      <c r="W81" s="308"/>
      <c r="X81" s="308"/>
      <c r="Y81" s="200">
        <f t="shared" si="49"/>
        <v>46312.9</v>
      </c>
      <c r="Z81" s="320">
        <f t="shared" si="51"/>
        <v>46312.9</v>
      </c>
      <c r="AA81" s="33" t="str">
        <f t="shared" si="52"/>
        <v>P</v>
      </c>
      <c r="AB81" s="99" t="str">
        <f t="shared" si="50"/>
        <v>SUPER</v>
      </c>
      <c r="AC81" s="313">
        <v>46288</v>
      </c>
      <c r="AD81" s="289" t="s">
        <v>167</v>
      </c>
      <c r="AE81" s="315">
        <v>24.9</v>
      </c>
      <c r="AF81" s="48"/>
      <c r="AG81" s="5"/>
      <c r="AH81" s="5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B81" s="18"/>
    </row>
    <row r="82" spans="2:55" ht="15" customHeight="1">
      <c r="B82" s="308"/>
      <c r="C82" s="308"/>
      <c r="D82" s="308"/>
      <c r="E82" s="308"/>
      <c r="F82" s="308"/>
      <c r="G82" s="308"/>
      <c r="H82" s="308"/>
      <c r="I82" s="308"/>
      <c r="J82" s="308"/>
      <c r="K82" s="308"/>
      <c r="L82" s="308"/>
      <c r="M82" s="308"/>
      <c r="N82" s="308"/>
      <c r="O82" s="308"/>
      <c r="P82" s="308"/>
      <c r="Q82" s="308"/>
      <c r="R82" s="308"/>
      <c r="S82" s="308"/>
      <c r="T82" s="308"/>
      <c r="U82" s="308"/>
      <c r="V82" s="308"/>
      <c r="W82" s="308"/>
      <c r="X82" s="308"/>
      <c r="Y82" s="200">
        <f t="shared" si="49"/>
        <v>46347.62</v>
      </c>
      <c r="Z82" s="320">
        <f t="shared" si="51"/>
        <v>46347.62</v>
      </c>
      <c r="AA82" s="33" t="str">
        <f t="shared" si="52"/>
        <v>P</v>
      </c>
      <c r="AB82" s="99" t="str">
        <f t="shared" si="50"/>
        <v>REF / LANCHE</v>
      </c>
      <c r="AC82" s="313">
        <v>46287</v>
      </c>
      <c r="AD82" s="314" t="s">
        <v>168</v>
      </c>
      <c r="AE82" s="315">
        <v>60.62</v>
      </c>
      <c r="AF82" s="48"/>
      <c r="AG82" s="5"/>
      <c r="AH82" s="5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B82" s="18"/>
    </row>
    <row r="83" spans="2:55" ht="15" customHeight="1">
      <c r="B83" s="545" t="s">
        <v>291</v>
      </c>
      <c r="C83" s="546"/>
      <c r="D83" s="547"/>
      <c r="E83" s="551">
        <f>SUM(E85:E99)</f>
        <v>0</v>
      </c>
      <c r="F83" s="552"/>
      <c r="G83" s="322"/>
      <c r="H83" s="220"/>
      <c r="I83" s="342" t="str">
        <f t="shared" si="41"/>
        <v/>
      </c>
      <c r="J83" s="699">
        <f>SUM(N85:N99)</f>
        <v>882.31000000000006</v>
      </c>
      <c r="K83" s="699"/>
      <c r="L83" s="700"/>
      <c r="M83" s="559">
        <f>SUM(E83,J83)</f>
        <v>882.31000000000006</v>
      </c>
      <c r="N83" s="560"/>
      <c r="O83" s="308"/>
      <c r="P83" s="308"/>
      <c r="Q83" s="308"/>
      <c r="R83" s="308"/>
      <c r="S83" s="308"/>
      <c r="T83" s="308"/>
      <c r="U83" s="308"/>
      <c r="V83" s="308"/>
      <c r="W83" s="308"/>
      <c r="X83" s="308"/>
      <c r="Y83" s="200">
        <f t="shared" si="49"/>
        <v>46335.98</v>
      </c>
      <c r="Z83" s="320">
        <f t="shared" si="51"/>
        <v>46335.98</v>
      </c>
      <c r="AA83" s="33" t="str">
        <f t="shared" si="52"/>
        <v>P</v>
      </c>
      <c r="AB83" s="99" t="str">
        <f t="shared" si="50"/>
        <v>FLAVIA</v>
      </c>
      <c r="AC83" s="313">
        <v>46285</v>
      </c>
      <c r="AD83" s="314" t="s">
        <v>297</v>
      </c>
      <c r="AE83" s="315">
        <v>50.98</v>
      </c>
      <c r="AF83" s="48"/>
      <c r="AG83" s="5"/>
      <c r="AH83" s="5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B83" s="18"/>
    </row>
    <row r="84" spans="2:55" ht="15" customHeight="1">
      <c r="B84" s="548"/>
      <c r="C84" s="549"/>
      <c r="D84" s="550"/>
      <c r="E84" s="553"/>
      <c r="F84" s="554"/>
      <c r="G84" s="323"/>
      <c r="H84" s="222"/>
      <c r="I84" s="346" t="str">
        <f t="shared" si="41"/>
        <v/>
      </c>
      <c r="J84" s="701"/>
      <c r="K84" s="701"/>
      <c r="L84" s="702"/>
      <c r="M84" s="561"/>
      <c r="N84" s="562"/>
      <c r="O84" s="308"/>
      <c r="P84" s="308"/>
      <c r="Q84" s="308"/>
      <c r="R84" s="308"/>
      <c r="S84" s="308"/>
      <c r="T84" s="308"/>
      <c r="U84" s="308"/>
      <c r="V84" s="308"/>
      <c r="W84" s="308"/>
      <c r="X84" s="308"/>
      <c r="Y84" s="200">
        <f t="shared" si="49"/>
        <v>46409</v>
      </c>
      <c r="Z84" s="320">
        <f t="shared" si="51"/>
        <v>46409</v>
      </c>
      <c r="AA84" s="33" t="str">
        <f t="shared" si="52"/>
        <v>P</v>
      </c>
      <c r="AB84" s="99" t="str">
        <f t="shared" si="50"/>
        <v>CARRO</v>
      </c>
      <c r="AC84" s="313">
        <v>46284</v>
      </c>
      <c r="AD84" s="314" t="s">
        <v>286</v>
      </c>
      <c r="AE84" s="315">
        <v>125</v>
      </c>
      <c r="AF84" s="48"/>
      <c r="AG84" s="5"/>
      <c r="AH84" s="5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B84" s="18"/>
    </row>
    <row r="85" spans="2:55" ht="15" customHeight="1">
      <c r="B85" s="337">
        <v>249.6</v>
      </c>
      <c r="C85" s="191">
        <v>46276</v>
      </c>
      <c r="D85" s="74" t="s">
        <v>115</v>
      </c>
      <c r="E85" s="58" t="str">
        <f>IF(OR(B85="",F85="Pago"),"",B85)</f>
        <v/>
      </c>
      <c r="F85" s="351" t="s">
        <v>2</v>
      </c>
      <c r="G85" s="343">
        <f t="shared" ref="G85:G88" si="54">IF(B85="","",B85+C85)</f>
        <v>46525.599999999999</v>
      </c>
      <c r="H85" s="344">
        <f>IFERROR(VLOOKUP(G85,$Z$5:$Z$173,1,0),"")</f>
        <v>46525.599999999999</v>
      </c>
      <c r="I85" s="343" t="str">
        <f>IF(OR(G85&lt;&gt;"",H85&lt;&gt;""),"REF / LANCHE","")</f>
        <v>REF / LANCHE</v>
      </c>
      <c r="J85" s="383" t="s">
        <v>94</v>
      </c>
      <c r="K85" s="385" t="s">
        <v>90</v>
      </c>
      <c r="L85" s="384" t="str">
        <f t="shared" ref="L85:L93" si="55">IF(K85="AV","8",IF(AND(G85="",H85=""),"",IF(G85=H85,"P",IF(G85&lt;&gt;H85,"O"))))</f>
        <v>P</v>
      </c>
      <c r="M85" s="354"/>
      <c r="N85" s="347">
        <f>IF(F85="Pago",B85,"")</f>
        <v>249.6</v>
      </c>
      <c r="O85" s="308"/>
      <c r="P85" s="308"/>
      <c r="Q85" s="308"/>
      <c r="R85" s="308"/>
      <c r="S85" s="308"/>
      <c r="T85" s="308"/>
      <c r="U85" s="308"/>
      <c r="V85" s="308"/>
      <c r="W85" s="308"/>
      <c r="X85" s="308"/>
      <c r="Y85" s="200">
        <f t="shared" si="49"/>
        <v>46319</v>
      </c>
      <c r="Z85" s="320">
        <f t="shared" si="51"/>
        <v>46319</v>
      </c>
      <c r="AA85" s="33" t="str">
        <f t="shared" si="52"/>
        <v>P</v>
      </c>
      <c r="AB85" s="99" t="str">
        <f t="shared" si="50"/>
        <v>CARRO</v>
      </c>
      <c r="AC85" s="313">
        <v>46284</v>
      </c>
      <c r="AD85" s="314" t="s">
        <v>287</v>
      </c>
      <c r="AE85" s="315">
        <v>35</v>
      </c>
      <c r="AF85" s="48"/>
      <c r="AG85" s="5"/>
      <c r="AH85" s="5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  <c r="BB85" s="18"/>
    </row>
    <row r="86" spans="2:55" ht="15" customHeight="1">
      <c r="B86" s="337">
        <v>47.77</v>
      </c>
      <c r="C86" s="191">
        <v>46282</v>
      </c>
      <c r="D86" s="74" t="s">
        <v>288</v>
      </c>
      <c r="E86" s="58" t="str">
        <f t="shared" ref="E86:E93" si="56">IF(OR(B86="",F86="Pago"),"",B86)</f>
        <v/>
      </c>
      <c r="F86" s="351" t="s">
        <v>2</v>
      </c>
      <c r="G86" s="343">
        <f t="shared" si="54"/>
        <v>46329.77</v>
      </c>
      <c r="H86" s="344">
        <f t="shared" ref="H86:H99" si="57">IFERROR(VLOOKUP(G86,$Z$5:$Z$174,1,0),"")</f>
        <v>46329.77</v>
      </c>
      <c r="I86" s="343" t="str">
        <f t="shared" ref="I86:I99" si="58">IF(OR(G86&lt;&gt;"",H86&lt;&gt;""),"REF / LANCHE","")</f>
        <v>REF / LANCHE</v>
      </c>
      <c r="J86" s="383" t="s">
        <v>94</v>
      </c>
      <c r="K86" s="351" t="s">
        <v>90</v>
      </c>
      <c r="L86" s="384" t="str">
        <f t="shared" si="55"/>
        <v>P</v>
      </c>
      <c r="M86" s="354"/>
      <c r="N86" s="348">
        <f>IF(F86="Pago",B86,"")</f>
        <v>47.77</v>
      </c>
      <c r="O86" s="308"/>
      <c r="P86" s="308"/>
      <c r="Q86" s="308"/>
      <c r="R86" s="308"/>
      <c r="S86" s="308"/>
      <c r="T86" s="308"/>
      <c r="U86" s="308"/>
      <c r="V86" s="308"/>
      <c r="W86" s="308"/>
      <c r="X86" s="308"/>
      <c r="Y86" s="200">
        <f t="shared" si="49"/>
        <v>46333</v>
      </c>
      <c r="Z86" s="320">
        <f t="shared" si="51"/>
        <v>46333</v>
      </c>
      <c r="AA86" s="33" t="str">
        <f t="shared" si="52"/>
        <v>P</v>
      </c>
      <c r="AB86" s="99" t="str">
        <f t="shared" si="50"/>
        <v>MOTO</v>
      </c>
      <c r="AC86" s="313">
        <v>46283</v>
      </c>
      <c r="AD86" s="314" t="s">
        <v>176</v>
      </c>
      <c r="AE86" s="426">
        <v>50</v>
      </c>
      <c r="AF86" s="48"/>
      <c r="AG86" s="5"/>
      <c r="AH86" s="5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  <c r="BB86" s="18"/>
    </row>
    <row r="87" spans="2:55" ht="15" customHeight="1">
      <c r="B87" s="337">
        <v>60.62</v>
      </c>
      <c r="C87" s="191">
        <v>46287</v>
      </c>
      <c r="D87" s="74" t="s">
        <v>288</v>
      </c>
      <c r="E87" s="58" t="str">
        <f t="shared" si="56"/>
        <v/>
      </c>
      <c r="F87" s="351" t="s">
        <v>2</v>
      </c>
      <c r="G87" s="343">
        <f t="shared" si="54"/>
        <v>46347.62</v>
      </c>
      <c r="H87" s="344">
        <f t="shared" si="57"/>
        <v>46347.62</v>
      </c>
      <c r="I87" s="343" t="str">
        <f t="shared" si="58"/>
        <v>REF / LANCHE</v>
      </c>
      <c r="J87" s="383" t="s">
        <v>94</v>
      </c>
      <c r="K87" s="351" t="s">
        <v>90</v>
      </c>
      <c r="L87" s="384" t="str">
        <f t="shared" si="55"/>
        <v>P</v>
      </c>
      <c r="M87" s="354"/>
      <c r="N87" s="348">
        <f t="shared" ref="N87:N99" si="59">IF(F87="Pago",B87,"")</f>
        <v>60.62</v>
      </c>
      <c r="O87" s="308"/>
      <c r="P87" s="308"/>
      <c r="Q87" s="308"/>
      <c r="R87" s="308"/>
      <c r="S87" s="308"/>
      <c r="T87" s="308"/>
      <c r="U87" s="308"/>
      <c r="V87" s="308"/>
      <c r="W87" s="308"/>
      <c r="X87" s="308"/>
      <c r="Y87" s="200">
        <f t="shared" si="49"/>
        <v>46329.77</v>
      </c>
      <c r="Z87" s="320">
        <f t="shared" si="51"/>
        <v>46329.77</v>
      </c>
      <c r="AA87" s="33" t="str">
        <f t="shared" si="52"/>
        <v>P</v>
      </c>
      <c r="AB87" s="99" t="str">
        <f t="shared" si="50"/>
        <v>REF / LANCHE</v>
      </c>
      <c r="AC87" s="313">
        <v>46282</v>
      </c>
      <c r="AD87" s="314" t="s">
        <v>168</v>
      </c>
      <c r="AE87" s="315">
        <v>47.77</v>
      </c>
      <c r="AF87" s="48"/>
      <c r="AG87" s="5"/>
      <c r="AH87" s="5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B87" s="18"/>
    </row>
    <row r="88" spans="2:55" ht="15" customHeight="1">
      <c r="B88" s="337">
        <v>90.79</v>
      </c>
      <c r="C88" s="191">
        <v>46288</v>
      </c>
      <c r="D88" s="74" t="s">
        <v>115</v>
      </c>
      <c r="E88" s="58" t="str">
        <f t="shared" si="56"/>
        <v/>
      </c>
      <c r="F88" s="351" t="s">
        <v>2</v>
      </c>
      <c r="G88" s="343">
        <f t="shared" si="54"/>
        <v>46378.79</v>
      </c>
      <c r="H88" s="344">
        <f t="shared" si="57"/>
        <v>46378.79</v>
      </c>
      <c r="I88" s="343" t="str">
        <f t="shared" si="58"/>
        <v>REF / LANCHE</v>
      </c>
      <c r="J88" s="383" t="s">
        <v>94</v>
      </c>
      <c r="K88" s="351" t="s">
        <v>90</v>
      </c>
      <c r="L88" s="384" t="str">
        <f t="shared" si="55"/>
        <v>P</v>
      </c>
      <c r="M88" s="354"/>
      <c r="N88" s="348">
        <f t="shared" si="59"/>
        <v>90.79</v>
      </c>
      <c r="O88" s="308"/>
      <c r="P88" s="308"/>
      <c r="Q88" s="308"/>
      <c r="R88" s="308"/>
      <c r="S88" s="308"/>
      <c r="T88" s="308"/>
      <c r="U88" s="308"/>
      <c r="V88" s="308"/>
      <c r="W88" s="308"/>
      <c r="X88" s="308"/>
      <c r="Y88" s="200">
        <f t="shared" si="49"/>
        <v>46356.92</v>
      </c>
      <c r="Z88" s="320">
        <f t="shared" si="51"/>
        <v>46356.92</v>
      </c>
      <c r="AA88" s="33" t="str">
        <f t="shared" si="52"/>
        <v>P</v>
      </c>
      <c r="AB88" s="99" t="str">
        <f t="shared" si="50"/>
        <v>SUPER</v>
      </c>
      <c r="AC88" s="313">
        <v>46281</v>
      </c>
      <c r="AD88" s="314" t="s">
        <v>60</v>
      </c>
      <c r="AE88" s="315">
        <v>75.92</v>
      </c>
      <c r="AF88" s="48"/>
      <c r="AG88" s="5"/>
      <c r="AH88" s="5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B88" s="18"/>
    </row>
    <row r="89" spans="2:55" ht="15" customHeight="1">
      <c r="B89" s="337">
        <v>18.07</v>
      </c>
      <c r="C89" s="191">
        <v>46291</v>
      </c>
      <c r="D89" s="74" t="s">
        <v>310</v>
      </c>
      <c r="E89" s="58" t="str">
        <f t="shared" si="56"/>
        <v/>
      </c>
      <c r="F89" s="351" t="s">
        <v>2</v>
      </c>
      <c r="G89" s="343">
        <f t="shared" ref="G89:G90" si="60">IF(B89="","",B89+C89)</f>
        <v>46309.07</v>
      </c>
      <c r="H89" s="344">
        <f t="shared" si="57"/>
        <v>46309.07</v>
      </c>
      <c r="I89" s="343" t="str">
        <f t="shared" si="58"/>
        <v>REF / LANCHE</v>
      </c>
      <c r="J89" s="383" t="s">
        <v>94</v>
      </c>
      <c r="K89" s="351" t="s">
        <v>90</v>
      </c>
      <c r="L89" s="384" t="str">
        <f t="shared" si="55"/>
        <v>P</v>
      </c>
      <c r="M89" s="354"/>
      <c r="N89" s="348">
        <f t="shared" si="59"/>
        <v>18.07</v>
      </c>
      <c r="O89" s="308"/>
      <c r="P89" s="308"/>
      <c r="Q89" s="308"/>
      <c r="R89" s="308"/>
      <c r="S89" s="308"/>
      <c r="T89" s="308"/>
      <c r="U89" s="308"/>
      <c r="V89" s="308"/>
      <c r="W89" s="308"/>
      <c r="X89" s="308"/>
      <c r="Y89" s="200">
        <f t="shared" si="49"/>
        <v>46306</v>
      </c>
      <c r="Z89" s="320">
        <f t="shared" si="51"/>
        <v>46306</v>
      </c>
      <c r="AA89" s="33" t="str">
        <f t="shared" si="52"/>
        <v>P</v>
      </c>
      <c r="AB89" s="99" t="str">
        <f t="shared" si="50"/>
        <v>GUTO</v>
      </c>
      <c r="AC89" s="313">
        <v>46281</v>
      </c>
      <c r="AD89" s="314" t="s">
        <v>266</v>
      </c>
      <c r="AE89" s="315">
        <v>25</v>
      </c>
      <c r="AF89" s="48"/>
      <c r="AG89" s="5"/>
      <c r="AH89" s="5"/>
      <c r="AP89" s="18"/>
      <c r="AQ89" s="18"/>
      <c r="AR89" s="18"/>
      <c r="AS89" s="18"/>
      <c r="AT89" s="18"/>
      <c r="AU89" s="18"/>
      <c r="AV89" s="18"/>
      <c r="AW89" s="18"/>
      <c r="AX89" s="18"/>
      <c r="AY89" s="18"/>
      <c r="AZ89" s="18"/>
      <c r="BB89" s="18"/>
    </row>
    <row r="90" spans="2:55" ht="15" customHeight="1">
      <c r="B90" s="337">
        <v>33.6</v>
      </c>
      <c r="C90" s="191">
        <v>46291</v>
      </c>
      <c r="D90" s="74" t="s">
        <v>311</v>
      </c>
      <c r="E90" s="58" t="str">
        <f t="shared" si="56"/>
        <v/>
      </c>
      <c r="F90" s="351" t="s">
        <v>2</v>
      </c>
      <c r="G90" s="343">
        <f t="shared" si="60"/>
        <v>46324.6</v>
      </c>
      <c r="H90" s="344">
        <f t="shared" si="57"/>
        <v>46324.6</v>
      </c>
      <c r="I90" s="343" t="str">
        <f t="shared" si="58"/>
        <v>REF / LANCHE</v>
      </c>
      <c r="J90" s="383" t="s">
        <v>94</v>
      </c>
      <c r="K90" s="351" t="s">
        <v>90</v>
      </c>
      <c r="L90" s="384" t="str">
        <f t="shared" si="55"/>
        <v>P</v>
      </c>
      <c r="M90" s="354"/>
      <c r="N90" s="348">
        <f t="shared" si="59"/>
        <v>33.6</v>
      </c>
      <c r="O90" s="308"/>
      <c r="P90" s="308"/>
      <c r="Q90" s="308"/>
      <c r="R90" s="308"/>
      <c r="S90" s="308"/>
      <c r="T90" s="308"/>
      <c r="U90" s="308"/>
      <c r="V90" s="308"/>
      <c r="W90" s="308"/>
      <c r="X90" s="308"/>
      <c r="Y90" s="200">
        <f t="shared" si="49"/>
        <v>46393.5</v>
      </c>
      <c r="Z90" s="320">
        <f t="shared" si="51"/>
        <v>46393.5</v>
      </c>
      <c r="AA90" s="33" t="str">
        <f t="shared" si="52"/>
        <v>P</v>
      </c>
      <c r="AB90" s="99" t="str">
        <f t="shared" si="50"/>
        <v>CARRO</v>
      </c>
      <c r="AC90" s="313">
        <v>46281</v>
      </c>
      <c r="AD90" s="314" t="s">
        <v>267</v>
      </c>
      <c r="AE90" s="315">
        <v>112.5</v>
      </c>
      <c r="AF90" s="48"/>
      <c r="AG90" s="5"/>
      <c r="AH90" s="5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B90" s="18"/>
    </row>
    <row r="91" spans="2:55" ht="15" customHeight="1">
      <c r="B91" s="337">
        <v>37.39</v>
      </c>
      <c r="C91" s="191">
        <v>46291</v>
      </c>
      <c r="D91" s="74" t="s">
        <v>312</v>
      </c>
      <c r="E91" s="58" t="str">
        <f t="shared" si="56"/>
        <v/>
      </c>
      <c r="F91" s="351" t="s">
        <v>2</v>
      </c>
      <c r="G91" s="343">
        <f t="shared" ref="G91:G99" si="61">IF(B91="","",B91+C91)</f>
        <v>46328.39</v>
      </c>
      <c r="H91" s="344">
        <f t="shared" si="57"/>
        <v>46328.39</v>
      </c>
      <c r="I91" s="343" t="str">
        <f t="shared" si="58"/>
        <v>REF / LANCHE</v>
      </c>
      <c r="J91" s="383" t="s">
        <v>94</v>
      </c>
      <c r="K91" s="351" t="s">
        <v>90</v>
      </c>
      <c r="L91" s="384" t="str">
        <f t="shared" si="55"/>
        <v>P</v>
      </c>
      <c r="M91" s="354"/>
      <c r="N91" s="348">
        <f t="shared" si="59"/>
        <v>37.39</v>
      </c>
      <c r="O91" s="308"/>
      <c r="P91" s="308"/>
      <c r="Q91" s="308"/>
      <c r="R91" s="308"/>
      <c r="S91" s="308"/>
      <c r="T91" s="308"/>
      <c r="U91" s="308"/>
      <c r="V91" s="308"/>
      <c r="W91" s="308"/>
      <c r="X91" s="308"/>
      <c r="Y91" s="200">
        <f t="shared" si="49"/>
        <v>46321.45</v>
      </c>
      <c r="Z91" s="320">
        <f t="shared" si="51"/>
        <v>46321.45</v>
      </c>
      <c r="AA91" s="33" t="str">
        <f t="shared" si="52"/>
        <v>P</v>
      </c>
      <c r="AB91" s="99" t="str">
        <f t="shared" si="50"/>
        <v>GUTO</v>
      </c>
      <c r="AC91" s="313">
        <v>46279</v>
      </c>
      <c r="AD91" s="314" t="s">
        <v>75</v>
      </c>
      <c r="AE91" s="315">
        <v>42.45</v>
      </c>
      <c r="AF91" s="48"/>
      <c r="AG91" s="5"/>
      <c r="AH91" s="5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B91" s="18"/>
    </row>
    <row r="92" spans="2:55" ht="15" customHeight="1">
      <c r="B92" s="337">
        <v>73</v>
      </c>
      <c r="C92" s="191">
        <v>46292</v>
      </c>
      <c r="D92" s="74" t="s">
        <v>315</v>
      </c>
      <c r="E92" s="58" t="str">
        <f t="shared" si="56"/>
        <v/>
      </c>
      <c r="F92" s="351" t="s">
        <v>2</v>
      </c>
      <c r="G92" s="343">
        <f t="shared" si="61"/>
        <v>46365</v>
      </c>
      <c r="H92" s="344">
        <f t="shared" si="57"/>
        <v>46365</v>
      </c>
      <c r="I92" s="343" t="str">
        <f t="shared" si="58"/>
        <v>REF / LANCHE</v>
      </c>
      <c r="J92" s="383" t="s">
        <v>94</v>
      </c>
      <c r="K92" s="351" t="s">
        <v>90</v>
      </c>
      <c r="L92" s="384" t="str">
        <f t="shared" si="55"/>
        <v>P</v>
      </c>
      <c r="M92" s="354"/>
      <c r="N92" s="348">
        <f t="shared" si="59"/>
        <v>73</v>
      </c>
      <c r="O92" s="308"/>
      <c r="P92" s="308"/>
      <c r="Q92" s="308"/>
      <c r="R92" s="308"/>
      <c r="S92" s="308"/>
      <c r="T92" s="308"/>
      <c r="U92" s="308"/>
      <c r="V92" s="308"/>
      <c r="W92" s="308"/>
      <c r="X92" s="308"/>
      <c r="Y92" s="200">
        <f t="shared" si="49"/>
        <v>46362.49</v>
      </c>
      <c r="Z92" s="320">
        <f t="shared" si="51"/>
        <v>46362.49</v>
      </c>
      <c r="AA92" s="33" t="str">
        <f t="shared" si="52"/>
        <v>P</v>
      </c>
      <c r="AB92" s="99" t="str">
        <f t="shared" si="50"/>
        <v>FARMÁCIA</v>
      </c>
      <c r="AC92" s="313">
        <v>46279</v>
      </c>
      <c r="AD92" s="314" t="s">
        <v>268</v>
      </c>
      <c r="AE92" s="315">
        <v>83.49</v>
      </c>
      <c r="AF92" s="48"/>
      <c r="AG92" s="5"/>
      <c r="AH92" s="5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B92" s="18"/>
    </row>
    <row r="93" spans="2:55" ht="15" customHeight="1">
      <c r="B93" s="337">
        <v>78.33</v>
      </c>
      <c r="C93" s="191">
        <v>46290</v>
      </c>
      <c r="D93" s="74" t="s">
        <v>331</v>
      </c>
      <c r="E93" s="58" t="str">
        <f t="shared" si="56"/>
        <v/>
      </c>
      <c r="F93" s="351" t="s">
        <v>2</v>
      </c>
      <c r="G93" s="343">
        <f t="shared" si="61"/>
        <v>46368.33</v>
      </c>
      <c r="H93" s="344">
        <f t="shared" si="57"/>
        <v>46368.33</v>
      </c>
      <c r="I93" s="343" t="str">
        <f t="shared" si="58"/>
        <v>REF / LANCHE</v>
      </c>
      <c r="J93" s="383" t="s">
        <v>94</v>
      </c>
      <c r="K93" s="351" t="s">
        <v>90</v>
      </c>
      <c r="L93" s="384" t="str">
        <f t="shared" si="55"/>
        <v>P</v>
      </c>
      <c r="M93" s="354"/>
      <c r="N93" s="348">
        <f t="shared" si="59"/>
        <v>78.33</v>
      </c>
      <c r="O93" s="308"/>
      <c r="P93" s="308"/>
      <c r="Q93" s="308"/>
      <c r="R93" s="308"/>
      <c r="S93" s="308"/>
      <c r="T93" s="308"/>
      <c r="U93" s="308"/>
      <c r="V93" s="308"/>
      <c r="W93" s="308"/>
      <c r="X93" s="308"/>
      <c r="Y93" s="200">
        <f t="shared" si="49"/>
        <v>46856.55</v>
      </c>
      <c r="Z93" s="320">
        <f t="shared" si="51"/>
        <v>46856.55</v>
      </c>
      <c r="AA93" s="33" t="str">
        <f t="shared" si="52"/>
        <v>P</v>
      </c>
      <c r="AB93" s="99" t="str">
        <f t="shared" si="50"/>
        <v>SUPER</v>
      </c>
      <c r="AC93" s="313">
        <v>46278</v>
      </c>
      <c r="AD93" s="314" t="s">
        <v>64</v>
      </c>
      <c r="AE93" s="315">
        <v>578.54999999999995</v>
      </c>
      <c r="AF93" s="48"/>
      <c r="AG93" s="5"/>
      <c r="AH93" s="5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B93" s="18"/>
    </row>
    <row r="94" spans="2:55" ht="15" customHeight="1">
      <c r="B94" s="337">
        <v>64</v>
      </c>
      <c r="C94" s="191">
        <v>46297</v>
      </c>
      <c r="D94" s="74" t="s">
        <v>315</v>
      </c>
      <c r="E94" s="58" t="str">
        <f t="shared" ref="E94:E97" si="62">IF(OR(B94="",F94="Pago"),"",B94)</f>
        <v/>
      </c>
      <c r="F94" s="351" t="s">
        <v>2</v>
      </c>
      <c r="G94" s="343">
        <f t="shared" si="61"/>
        <v>46361</v>
      </c>
      <c r="H94" s="344">
        <f t="shared" si="57"/>
        <v>46361</v>
      </c>
      <c r="I94" s="343" t="str">
        <f t="shared" si="58"/>
        <v>REF / LANCHE</v>
      </c>
      <c r="J94" s="383" t="s">
        <v>94</v>
      </c>
      <c r="K94" s="351" t="s">
        <v>90</v>
      </c>
      <c r="L94" s="384" t="str">
        <f t="shared" ref="L94" si="63">IF(K94="AV","8",IF(AND(G94="",H94=""),"",IF(G94=H94,"P",IF(G94&lt;&gt;H94,"O"))))</f>
        <v>P</v>
      </c>
      <c r="M94" s="354"/>
      <c r="N94" s="348">
        <f t="shared" si="59"/>
        <v>64</v>
      </c>
      <c r="O94" s="308"/>
      <c r="P94" s="308"/>
      <c r="Q94" s="308"/>
      <c r="R94" s="308"/>
      <c r="S94" s="308"/>
      <c r="T94" s="308"/>
      <c r="U94" s="308"/>
      <c r="V94" s="308"/>
      <c r="W94" s="308"/>
      <c r="X94" s="308"/>
      <c r="Y94" s="200">
        <f t="shared" si="49"/>
        <v>46325.99</v>
      </c>
      <c r="Z94" s="320">
        <f t="shared" si="51"/>
        <v>46325.99</v>
      </c>
      <c r="AA94" s="33" t="str">
        <f t="shared" si="52"/>
        <v>P</v>
      </c>
      <c r="AB94" s="99" t="str">
        <f t="shared" si="50"/>
        <v>SUPER</v>
      </c>
      <c r="AC94" s="313">
        <v>46277</v>
      </c>
      <c r="AD94" s="314" t="s">
        <v>269</v>
      </c>
      <c r="AE94" s="315">
        <v>48.99</v>
      </c>
      <c r="AF94" s="48"/>
      <c r="AG94" s="57"/>
      <c r="AH94" s="5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B94" s="18"/>
    </row>
    <row r="95" spans="2:55" ht="15" customHeight="1">
      <c r="B95" s="337">
        <v>50</v>
      </c>
      <c r="C95" s="191">
        <v>46300</v>
      </c>
      <c r="D95" s="74" t="s">
        <v>384</v>
      </c>
      <c r="E95" s="58" t="str">
        <f t="shared" si="62"/>
        <v/>
      </c>
      <c r="F95" s="351" t="s">
        <v>2</v>
      </c>
      <c r="G95" s="343">
        <f t="shared" si="61"/>
        <v>46350</v>
      </c>
      <c r="H95" s="344" t="str">
        <f t="shared" si="57"/>
        <v/>
      </c>
      <c r="I95" s="343" t="str">
        <f t="shared" si="58"/>
        <v>REF / LANCHE</v>
      </c>
      <c r="J95" s="383" t="s">
        <v>94</v>
      </c>
      <c r="K95" s="351" t="s">
        <v>118</v>
      </c>
      <c r="L95" s="384" t="str">
        <f t="shared" ref="L95:L98" si="64">IF(K95="AV","8",IF(AND(G95="",H95=""),"",IF(G95=H95,"P",IF(G95&lt;&gt;H95,"O"))))</f>
        <v>8</v>
      </c>
      <c r="M95" s="354"/>
      <c r="N95" s="348">
        <f t="shared" si="59"/>
        <v>50</v>
      </c>
      <c r="O95" s="308"/>
      <c r="P95" s="308"/>
      <c r="Q95" s="308"/>
      <c r="R95" s="308"/>
      <c r="S95" s="308"/>
      <c r="T95" s="308"/>
      <c r="U95" s="308"/>
      <c r="V95" s="308"/>
      <c r="W95" s="308"/>
      <c r="X95" s="308"/>
      <c r="Y95" s="200">
        <f t="shared" si="49"/>
        <v>46377</v>
      </c>
      <c r="Z95" s="320">
        <f t="shared" si="51"/>
        <v>46377</v>
      </c>
      <c r="AA95" s="33" t="str">
        <f t="shared" si="52"/>
        <v>P</v>
      </c>
      <c r="AB95" s="99" t="str">
        <f t="shared" si="50"/>
        <v>CARRO</v>
      </c>
      <c r="AC95" s="313">
        <v>46277</v>
      </c>
      <c r="AD95" s="314" t="s">
        <v>133</v>
      </c>
      <c r="AE95" s="315">
        <v>100</v>
      </c>
      <c r="AF95" s="48"/>
      <c r="AG95" s="57"/>
      <c r="AH95" s="5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B95" s="18"/>
    </row>
    <row r="96" spans="2:55" ht="15" customHeight="1">
      <c r="B96" s="337">
        <v>10</v>
      </c>
      <c r="C96" s="191">
        <v>46307</v>
      </c>
      <c r="D96" s="74" t="s">
        <v>395</v>
      </c>
      <c r="E96" s="58" t="str">
        <f t="shared" si="62"/>
        <v/>
      </c>
      <c r="F96" s="351" t="s">
        <v>2</v>
      </c>
      <c r="G96" s="343">
        <f t="shared" si="61"/>
        <v>46317</v>
      </c>
      <c r="H96" s="344" t="str">
        <f t="shared" si="57"/>
        <v/>
      </c>
      <c r="I96" s="343" t="str">
        <f t="shared" si="58"/>
        <v>REF / LANCHE</v>
      </c>
      <c r="J96" s="383" t="s">
        <v>94</v>
      </c>
      <c r="K96" s="351" t="s">
        <v>118</v>
      </c>
      <c r="L96" s="384" t="str">
        <f t="shared" si="64"/>
        <v>8</v>
      </c>
      <c r="M96" s="354"/>
      <c r="N96" s="348">
        <f t="shared" si="59"/>
        <v>10</v>
      </c>
      <c r="O96" s="308"/>
      <c r="P96" s="308"/>
      <c r="Q96" s="308"/>
      <c r="R96" s="308"/>
      <c r="S96" s="308"/>
      <c r="T96" s="308"/>
      <c r="U96" s="308"/>
      <c r="V96" s="308"/>
      <c r="W96" s="308"/>
      <c r="X96" s="308"/>
      <c r="Y96" s="200">
        <f t="shared" si="49"/>
        <v>46312.9</v>
      </c>
      <c r="Z96" s="320">
        <f t="shared" si="51"/>
        <v>46312.9</v>
      </c>
      <c r="AA96" s="33" t="str">
        <f t="shared" si="52"/>
        <v>P</v>
      </c>
      <c r="AB96" s="99" t="str">
        <f t="shared" si="50"/>
        <v>SUPER</v>
      </c>
      <c r="AC96" s="313">
        <v>46277</v>
      </c>
      <c r="AD96" s="314" t="s">
        <v>66</v>
      </c>
      <c r="AE96" s="315">
        <v>35.9</v>
      </c>
      <c r="AF96" s="48"/>
      <c r="AG96" s="5"/>
      <c r="AH96" s="5"/>
      <c r="AP96" s="57"/>
      <c r="AQ96" s="57"/>
      <c r="AR96" s="57"/>
      <c r="AS96" s="57"/>
      <c r="AT96" s="57"/>
      <c r="AU96" s="57"/>
      <c r="AV96" s="57"/>
      <c r="AW96" s="57"/>
      <c r="AX96" s="57"/>
      <c r="AY96" s="57"/>
      <c r="AZ96" s="57"/>
      <c r="BA96" s="57"/>
      <c r="BB96" s="57"/>
      <c r="BC96" s="6"/>
    </row>
    <row r="97" spans="2:55" ht="15" customHeight="1">
      <c r="B97" s="337">
        <v>46.93</v>
      </c>
      <c r="C97" s="191">
        <v>46305</v>
      </c>
      <c r="D97" s="74" t="s">
        <v>398</v>
      </c>
      <c r="E97" s="58" t="str">
        <f t="shared" si="62"/>
        <v/>
      </c>
      <c r="F97" s="351" t="s">
        <v>2</v>
      </c>
      <c r="G97" s="343">
        <f t="shared" si="61"/>
        <v>46351.93</v>
      </c>
      <c r="H97" s="344">
        <f t="shared" si="57"/>
        <v>46351.93</v>
      </c>
      <c r="I97" s="343" t="str">
        <f t="shared" si="58"/>
        <v>REF / LANCHE</v>
      </c>
      <c r="J97" s="383" t="s">
        <v>94</v>
      </c>
      <c r="K97" s="351" t="s">
        <v>90</v>
      </c>
      <c r="L97" s="384" t="str">
        <f t="shared" si="64"/>
        <v>P</v>
      </c>
      <c r="M97" s="354"/>
      <c r="N97" s="348">
        <f t="shared" si="59"/>
        <v>46.93</v>
      </c>
      <c r="O97" s="308"/>
      <c r="P97" s="308"/>
      <c r="Q97" s="308"/>
      <c r="R97" s="308"/>
      <c r="S97" s="308"/>
      <c r="T97" s="308"/>
      <c r="U97" s="308"/>
      <c r="V97" s="308"/>
      <c r="W97" s="308"/>
      <c r="X97" s="308"/>
      <c r="Y97" s="200">
        <f t="shared" si="49"/>
        <v>46363.98</v>
      </c>
      <c r="Z97" s="320">
        <f t="shared" si="51"/>
        <v>46363.98</v>
      </c>
      <c r="AA97" s="33" t="str">
        <f t="shared" si="52"/>
        <v>P</v>
      </c>
      <c r="AB97" s="99" t="str">
        <f t="shared" si="50"/>
        <v>SUPER</v>
      </c>
      <c r="AC97" s="313">
        <v>46277</v>
      </c>
      <c r="AD97" s="314" t="s">
        <v>270</v>
      </c>
      <c r="AE97" s="315">
        <v>86.98</v>
      </c>
      <c r="AF97" s="48"/>
      <c r="AG97" s="5"/>
      <c r="AH97" s="5"/>
      <c r="AP97" s="57"/>
      <c r="AQ97" s="57"/>
      <c r="AR97" s="57"/>
      <c r="AS97" s="57"/>
      <c r="AT97" s="57"/>
      <c r="AU97" s="57"/>
      <c r="AV97" s="57"/>
      <c r="AW97" s="57"/>
      <c r="AX97" s="57"/>
      <c r="AY97" s="57"/>
      <c r="AZ97" s="57"/>
      <c r="BA97" s="57"/>
      <c r="BB97" s="57"/>
      <c r="BC97" s="6"/>
    </row>
    <row r="98" spans="2:55" ht="15" customHeight="1">
      <c r="B98" s="337">
        <v>7.1</v>
      </c>
      <c r="C98" s="191">
        <v>46314</v>
      </c>
      <c r="D98" s="74" t="s">
        <v>418</v>
      </c>
      <c r="E98" s="58" t="str">
        <f t="shared" ref="E98" si="65">IF(OR(B98="",F98="Pago"),"",B98)</f>
        <v/>
      </c>
      <c r="F98" s="351" t="s">
        <v>2</v>
      </c>
      <c r="G98" s="343">
        <f t="shared" si="61"/>
        <v>46321.1</v>
      </c>
      <c r="H98" s="344" t="str">
        <f t="shared" si="57"/>
        <v/>
      </c>
      <c r="I98" s="343" t="str">
        <f t="shared" si="58"/>
        <v>REF / LANCHE</v>
      </c>
      <c r="J98" s="383" t="s">
        <v>94</v>
      </c>
      <c r="K98" s="351" t="s">
        <v>118</v>
      </c>
      <c r="L98" s="384" t="str">
        <f t="shared" si="64"/>
        <v>8</v>
      </c>
      <c r="M98" s="354"/>
      <c r="N98" s="348">
        <f t="shared" si="59"/>
        <v>7.1</v>
      </c>
      <c r="O98" s="308"/>
      <c r="P98" s="308"/>
      <c r="Q98" s="308"/>
      <c r="R98" s="308"/>
      <c r="S98" s="308"/>
      <c r="T98" s="308"/>
      <c r="U98" s="308"/>
      <c r="V98" s="308"/>
      <c r="W98" s="308"/>
      <c r="X98" s="308"/>
      <c r="Y98" s="200">
        <f t="shared" si="49"/>
        <v>46869.15</v>
      </c>
      <c r="Z98" s="320">
        <f t="shared" si="51"/>
        <v>46869.15</v>
      </c>
      <c r="AA98" s="33" t="str">
        <f t="shared" si="52"/>
        <v>P</v>
      </c>
      <c r="AB98" s="99" t="str">
        <f t="shared" si="50"/>
        <v>FLAVIA</v>
      </c>
      <c r="AC98" s="313">
        <v>46276</v>
      </c>
      <c r="AD98" s="314" t="s">
        <v>271</v>
      </c>
      <c r="AE98" s="315">
        <v>593.15</v>
      </c>
      <c r="AF98" s="48"/>
      <c r="AG98" s="5"/>
      <c r="AH98" s="5"/>
      <c r="AP98" s="57"/>
      <c r="AQ98" s="57"/>
      <c r="AR98" s="57"/>
      <c r="AS98" s="57"/>
      <c r="AT98" s="57"/>
      <c r="AU98" s="57"/>
      <c r="AV98" s="57"/>
      <c r="AW98" s="57"/>
      <c r="AX98" s="57"/>
      <c r="AY98" s="57"/>
      <c r="AZ98" s="57"/>
      <c r="BA98" s="57"/>
      <c r="BB98" s="57"/>
      <c r="BC98" s="6"/>
    </row>
    <row r="99" spans="2:55" ht="15" customHeight="1">
      <c r="B99" s="338">
        <v>15.11</v>
      </c>
      <c r="C99" s="215">
        <v>46310</v>
      </c>
      <c r="D99" s="76" t="s">
        <v>418</v>
      </c>
      <c r="E99" s="67" t="str">
        <f>IF(OR(B99="",F99="Pago"),"",B99)</f>
        <v/>
      </c>
      <c r="F99" s="356" t="s">
        <v>2</v>
      </c>
      <c r="G99" s="345">
        <f t="shared" si="61"/>
        <v>46325.11</v>
      </c>
      <c r="H99" s="346" t="str">
        <f t="shared" si="57"/>
        <v/>
      </c>
      <c r="I99" s="345" t="str">
        <f t="shared" si="58"/>
        <v>REF / LANCHE</v>
      </c>
      <c r="J99" s="383" t="s">
        <v>94</v>
      </c>
      <c r="K99" s="351" t="s">
        <v>118</v>
      </c>
      <c r="L99" s="359" t="str">
        <f>IF(K99="AV","8",IF(AND(G99="",H99=""),"",IF(G99=H99,"P",IF(G99&lt;&gt;H99,"O"))))</f>
        <v>8</v>
      </c>
      <c r="M99" s="364"/>
      <c r="N99" s="349">
        <f t="shared" si="59"/>
        <v>15.11</v>
      </c>
      <c r="O99" s="308"/>
      <c r="P99" s="308"/>
      <c r="Q99" s="308"/>
      <c r="R99" s="308"/>
      <c r="S99" s="308"/>
      <c r="T99" s="308"/>
      <c r="U99" s="308"/>
      <c r="V99" s="308"/>
      <c r="W99" s="308"/>
      <c r="X99" s="308"/>
      <c r="Y99" s="200">
        <f t="shared" si="49"/>
        <v>46525.599999999999</v>
      </c>
      <c r="Z99" s="320">
        <f t="shared" si="51"/>
        <v>46525.599999999999</v>
      </c>
      <c r="AA99" s="33" t="str">
        <f t="shared" si="52"/>
        <v>P</v>
      </c>
      <c r="AB99" s="99" t="str">
        <f t="shared" si="50"/>
        <v>REF / LANCHE</v>
      </c>
      <c r="AC99" s="313">
        <v>46276</v>
      </c>
      <c r="AD99" s="314" t="s">
        <v>112</v>
      </c>
      <c r="AE99" s="315">
        <v>249.6</v>
      </c>
      <c r="AF99" s="48"/>
      <c r="AG99" s="5"/>
      <c r="AH99" s="5"/>
      <c r="AP99" s="57"/>
      <c r="AQ99" s="57"/>
      <c r="AR99" s="57"/>
      <c r="AS99" s="57"/>
      <c r="AT99" s="57"/>
      <c r="AU99" s="57"/>
      <c r="AV99" s="57"/>
      <c r="AW99" s="57"/>
      <c r="AX99" s="57"/>
      <c r="AY99" s="57"/>
      <c r="AZ99" s="57"/>
      <c r="BA99" s="57"/>
      <c r="BB99" s="57"/>
      <c r="BC99" s="6"/>
    </row>
    <row r="100" spans="2:55" ht="15" customHeight="1">
      <c r="O100" s="308"/>
      <c r="P100" s="308"/>
      <c r="Q100" s="308"/>
      <c r="R100" s="308"/>
      <c r="S100" s="308"/>
      <c r="T100" s="308"/>
      <c r="U100" s="308"/>
      <c r="V100" s="308"/>
      <c r="W100" s="308"/>
      <c r="X100" s="308"/>
      <c r="Y100" s="200">
        <f t="shared" si="49"/>
        <v>46351.35</v>
      </c>
      <c r="Z100" s="320">
        <f t="shared" si="51"/>
        <v>46351.35</v>
      </c>
      <c r="AA100" s="33" t="str">
        <f t="shared" si="52"/>
        <v>P</v>
      </c>
      <c r="AB100" s="99" t="str">
        <f t="shared" si="50"/>
        <v>GUTO</v>
      </c>
      <c r="AC100" s="313">
        <v>46267</v>
      </c>
      <c r="AD100" s="314" t="s">
        <v>255</v>
      </c>
      <c r="AE100" s="315">
        <v>84.35</v>
      </c>
      <c r="AF100" s="48"/>
      <c r="AG100" s="5"/>
      <c r="AH100" s="5"/>
      <c r="BA100" s="5"/>
      <c r="BB100" s="5"/>
    </row>
    <row r="101" spans="2:55" ht="15" customHeight="1">
      <c r="B101" s="545" t="s">
        <v>123</v>
      </c>
      <c r="C101" s="546"/>
      <c r="D101" s="547"/>
      <c r="E101" s="551">
        <f>SUM(E103:E107)</f>
        <v>0</v>
      </c>
      <c r="F101" s="552"/>
      <c r="G101" s="322"/>
      <c r="H101" s="220"/>
      <c r="I101" s="342" t="str">
        <f t="shared" si="41"/>
        <v/>
      </c>
      <c r="J101" s="699">
        <f>SUM(N103:N107)</f>
        <v>28.91</v>
      </c>
      <c r="K101" s="699"/>
      <c r="L101" s="700"/>
      <c r="M101" s="559">
        <f>SUM(E101,J101)</f>
        <v>28.91</v>
      </c>
      <c r="N101" s="560"/>
      <c r="O101" s="308"/>
      <c r="P101" s="308"/>
      <c r="Q101" s="308"/>
      <c r="R101" s="308"/>
      <c r="S101" s="308"/>
      <c r="T101" s="308"/>
      <c r="U101" s="308"/>
      <c r="V101" s="308"/>
      <c r="W101" s="308"/>
      <c r="X101" s="308"/>
      <c r="Y101" s="200">
        <f t="shared" si="49"/>
        <v>46508.9</v>
      </c>
      <c r="Z101" s="320">
        <f t="shared" si="51"/>
        <v>46508.9</v>
      </c>
      <c r="AA101" s="33" t="str">
        <f t="shared" si="52"/>
        <v>P</v>
      </c>
      <c r="AB101" s="99" t="str">
        <f t="shared" ref="AB101:AB107" si="66">IF(Z101="","",IFERROR(VLOOKUP(Z101,$H$12:$I$243,2,0),""))</f>
        <v>JOÃO</v>
      </c>
      <c r="AC101" s="313">
        <v>46259</v>
      </c>
      <c r="AD101" s="314" t="s">
        <v>256</v>
      </c>
      <c r="AE101" s="315">
        <v>249.9</v>
      </c>
      <c r="AF101" s="48"/>
      <c r="AG101" s="5"/>
      <c r="AH101" s="5"/>
      <c r="BA101" s="5"/>
      <c r="BB101" s="5"/>
    </row>
    <row r="102" spans="2:55" ht="15" customHeight="1">
      <c r="B102" s="548"/>
      <c r="C102" s="703"/>
      <c r="D102" s="550"/>
      <c r="E102" s="553"/>
      <c r="F102" s="554"/>
      <c r="G102" s="323"/>
      <c r="H102" s="222"/>
      <c r="I102" s="346" t="str">
        <f t="shared" si="41"/>
        <v/>
      </c>
      <c r="J102" s="701"/>
      <c r="K102" s="701"/>
      <c r="L102" s="702"/>
      <c r="M102" s="561"/>
      <c r="N102" s="562"/>
      <c r="O102" s="308"/>
      <c r="P102" s="308"/>
      <c r="Q102" s="308"/>
      <c r="R102" s="308"/>
      <c r="S102" s="308"/>
      <c r="T102" s="308"/>
      <c r="U102" s="308"/>
      <c r="V102" s="308"/>
      <c r="W102" s="308"/>
      <c r="X102" s="308"/>
      <c r="Y102" s="200">
        <f t="shared" si="49"/>
        <v>46326.58</v>
      </c>
      <c r="Z102" s="320">
        <f t="shared" si="51"/>
        <v>46326.58</v>
      </c>
      <c r="AA102" s="33" t="str">
        <f t="shared" si="52"/>
        <v>P</v>
      </c>
      <c r="AB102" s="99" t="str">
        <f t="shared" si="66"/>
        <v>GUTO</v>
      </c>
      <c r="AC102" s="313">
        <v>46251</v>
      </c>
      <c r="AD102" s="314" t="s">
        <v>257</v>
      </c>
      <c r="AE102" s="315">
        <v>75.58</v>
      </c>
      <c r="AF102" s="48"/>
      <c r="AG102" s="5"/>
      <c r="AH102" s="5"/>
      <c r="BA102" s="5"/>
      <c r="BB102" s="5"/>
    </row>
    <row r="103" spans="2:55" ht="15" customHeight="1">
      <c r="B103" s="337">
        <v>12.95</v>
      </c>
      <c r="C103" s="495">
        <v>46298</v>
      </c>
      <c r="D103" s="74" t="s">
        <v>346</v>
      </c>
      <c r="E103" s="58" t="str">
        <f>IF(OR(B103="",F103="Pago"),"",B103)</f>
        <v/>
      </c>
      <c r="F103" s="351" t="s">
        <v>2</v>
      </c>
      <c r="G103" s="343">
        <f>IF(B103="","",B103+C103)</f>
        <v>46310.95</v>
      </c>
      <c r="H103" s="344">
        <f>IFERROR(VLOOKUP(G103,$Z$5:$Z$174,1,0),"")</f>
        <v>46310.95</v>
      </c>
      <c r="I103" s="343" t="str">
        <f>IF(OR(G103&lt;&gt;"",H103&lt;&gt;""),"UBER","")</f>
        <v>UBER</v>
      </c>
      <c r="J103" s="383" t="s">
        <v>89</v>
      </c>
      <c r="K103" s="385" t="s">
        <v>90</v>
      </c>
      <c r="L103" s="384" t="str">
        <f>IF(K103="AV","8",IF(AND(G103="",H103=""),"",IF(G103=H103,"P",IF(G103&lt;&gt;H103,"O"))))</f>
        <v>P</v>
      </c>
      <c r="M103" s="354"/>
      <c r="N103" s="347">
        <f>IF(F103="Pago",B103,"")</f>
        <v>12.95</v>
      </c>
      <c r="O103" s="308"/>
      <c r="P103" s="308"/>
      <c r="Q103" s="308"/>
      <c r="R103" s="308"/>
      <c r="S103" s="308"/>
      <c r="T103" s="308"/>
      <c r="U103" s="308"/>
      <c r="V103" s="308"/>
      <c r="W103" s="308"/>
      <c r="X103" s="308"/>
      <c r="Y103" s="200">
        <f t="shared" si="49"/>
        <v>46316.75</v>
      </c>
      <c r="Z103" s="320">
        <f t="shared" si="51"/>
        <v>46316.75</v>
      </c>
      <c r="AA103" s="33" t="str">
        <f t="shared" si="52"/>
        <v>P</v>
      </c>
      <c r="AB103" s="99" t="str">
        <f t="shared" si="66"/>
        <v>MOTO</v>
      </c>
      <c r="AC103" s="313">
        <v>46248</v>
      </c>
      <c r="AD103" s="314" t="s">
        <v>258</v>
      </c>
      <c r="AE103" s="426">
        <v>68.75</v>
      </c>
      <c r="AF103" s="48"/>
      <c r="AG103" s="5"/>
      <c r="AH103" s="5"/>
      <c r="BA103" s="5"/>
      <c r="BB103" s="5"/>
    </row>
    <row r="104" spans="2:55" ht="15" customHeight="1">
      <c r="B104" s="337">
        <v>15.96</v>
      </c>
      <c r="C104" s="191">
        <v>46298</v>
      </c>
      <c r="D104" s="74" t="s">
        <v>346</v>
      </c>
      <c r="E104" s="58" t="str">
        <f t="shared" ref="E104:E107" si="67">IF(OR(B104="",F104="Pago"),"",B104)</f>
        <v/>
      </c>
      <c r="F104" s="351" t="s">
        <v>2</v>
      </c>
      <c r="G104" s="343">
        <f>IF(B104="","",B104+C104)</f>
        <v>46313.96</v>
      </c>
      <c r="H104" s="344">
        <f>IFERROR(VLOOKUP(G104,$Z$5:$Z$174,1,0),"")</f>
        <v>46313.96</v>
      </c>
      <c r="I104" s="343" t="str">
        <f t="shared" ref="I104:I107" si="68">IF(OR(G104&lt;&gt;"",H104&lt;&gt;""),"UBER","")</f>
        <v>UBER</v>
      </c>
      <c r="J104" s="383" t="s">
        <v>89</v>
      </c>
      <c r="K104" s="351" t="s">
        <v>90</v>
      </c>
      <c r="L104" s="384" t="str">
        <f>IF(K104="AV","8",IF(AND(G104="",H104=""),"",IF(G104=H104,"P",IF(G104&lt;&gt;H104,"O"))))</f>
        <v>P</v>
      </c>
      <c r="M104" s="354"/>
      <c r="N104" s="348">
        <f>IF(F104="Pago",B104,"")</f>
        <v>15.96</v>
      </c>
      <c r="O104" s="308"/>
      <c r="P104" s="308"/>
      <c r="Q104" s="308"/>
      <c r="R104" s="308"/>
      <c r="S104" s="308"/>
      <c r="T104" s="308"/>
      <c r="U104" s="308"/>
      <c r="V104" s="308"/>
      <c r="W104" s="308"/>
      <c r="X104" s="308"/>
      <c r="Y104" s="200">
        <f t="shared" si="49"/>
        <v>46350.34</v>
      </c>
      <c r="Z104" s="320">
        <f t="shared" si="51"/>
        <v>46350.34</v>
      </c>
      <c r="AA104" s="33" t="str">
        <f t="shared" si="52"/>
        <v>P</v>
      </c>
      <c r="AB104" s="99" t="str">
        <f t="shared" si="66"/>
        <v>JOÃO</v>
      </c>
      <c r="AC104" s="313">
        <v>46227</v>
      </c>
      <c r="AD104" s="314" t="s">
        <v>259</v>
      </c>
      <c r="AE104" s="315">
        <v>123.34</v>
      </c>
      <c r="AF104" s="48"/>
      <c r="AG104" s="5"/>
      <c r="AH104" s="5"/>
      <c r="BA104" s="5"/>
      <c r="BB104" s="5"/>
    </row>
    <row r="105" spans="2:55" ht="15" customHeight="1">
      <c r="B105" s="337"/>
      <c r="C105" s="191"/>
      <c r="D105" s="74"/>
      <c r="E105" s="58" t="str">
        <f t="shared" si="67"/>
        <v/>
      </c>
      <c r="F105" s="351"/>
      <c r="G105" s="343" t="str">
        <f>IF(B105="","",B105+C105)</f>
        <v/>
      </c>
      <c r="H105" s="344" t="str">
        <f>IFERROR(VLOOKUP(G105,$Z$5:$Z$174,1,0),"")</f>
        <v/>
      </c>
      <c r="I105" s="343" t="str">
        <f t="shared" si="68"/>
        <v/>
      </c>
      <c r="J105" s="383"/>
      <c r="K105" s="351"/>
      <c r="L105" s="384" t="str">
        <f>IF(K105="AV","8",IF(AND(G105="",H105=""),"",IF(G105=H105,"P",IF(G105&lt;&gt;H105,"O"))))</f>
        <v/>
      </c>
      <c r="M105" s="354"/>
      <c r="N105" s="348" t="str">
        <f t="shared" ref="N105:N107" si="69">IF(F105="Pago",B105,"")</f>
        <v/>
      </c>
      <c r="O105" s="308"/>
      <c r="P105" s="308"/>
      <c r="Q105" s="308"/>
      <c r="R105" s="308"/>
      <c r="S105" s="308"/>
      <c r="T105" s="308"/>
      <c r="U105" s="308"/>
      <c r="V105" s="308"/>
      <c r="W105" s="308"/>
      <c r="X105" s="308"/>
      <c r="Y105" s="200">
        <f t="shared" si="49"/>
        <v>46340.85</v>
      </c>
      <c r="Z105" s="320">
        <f t="shared" si="51"/>
        <v>46340.85</v>
      </c>
      <c r="AA105" s="33" t="str">
        <f t="shared" si="52"/>
        <v>P</v>
      </c>
      <c r="AB105" s="99" t="str">
        <f t="shared" si="66"/>
        <v>JOÃO</v>
      </c>
      <c r="AC105" s="313">
        <v>46198</v>
      </c>
      <c r="AD105" s="314" t="s">
        <v>260</v>
      </c>
      <c r="AE105" s="315">
        <v>142.85</v>
      </c>
      <c r="AF105" s="48"/>
      <c r="AG105" s="5"/>
      <c r="AH105" s="5"/>
      <c r="BA105" s="5"/>
      <c r="BB105" s="5"/>
    </row>
    <row r="106" spans="2:55" ht="15" customHeight="1">
      <c r="B106" s="337"/>
      <c r="C106" s="191"/>
      <c r="D106" s="74"/>
      <c r="E106" s="58" t="str">
        <f t="shared" si="67"/>
        <v/>
      </c>
      <c r="F106" s="351"/>
      <c r="G106" s="343" t="str">
        <f>IF(B106="","",B106+C106)</f>
        <v/>
      </c>
      <c r="H106" s="344" t="str">
        <f>IFERROR(VLOOKUP(G106,$Z$5:$Z$174,1,0),"")</f>
        <v/>
      </c>
      <c r="I106" s="343" t="str">
        <f t="shared" si="68"/>
        <v/>
      </c>
      <c r="J106" s="383"/>
      <c r="K106" s="351"/>
      <c r="L106" s="384" t="str">
        <f>IF(K106="AV","8",IF(AND(G106="",H106=""),"",IF(G106=H106,"P",IF(G106&lt;&gt;H106,"O"))))</f>
        <v/>
      </c>
      <c r="M106" s="354"/>
      <c r="N106" s="348" t="str">
        <f t="shared" si="69"/>
        <v/>
      </c>
      <c r="O106" s="308"/>
      <c r="P106" s="308"/>
      <c r="Q106" s="308"/>
      <c r="R106" s="308"/>
      <c r="S106" s="308"/>
      <c r="T106" s="308"/>
      <c r="U106" s="308"/>
      <c r="V106" s="308"/>
      <c r="W106" s="308"/>
      <c r="X106" s="308"/>
      <c r="Y106" s="200">
        <f t="shared" ref="Y106:Y107" si="70">IFERROR(VLOOKUP(Z106,$G$12:$G$243,1,0),"")</f>
        <v>46295.68</v>
      </c>
      <c r="Z106" s="320">
        <f t="shared" si="51"/>
        <v>46295.68</v>
      </c>
      <c r="AA106" s="33" t="str">
        <f t="shared" si="52"/>
        <v>P</v>
      </c>
      <c r="AB106" s="99" t="str">
        <f t="shared" si="66"/>
        <v>JOÃO</v>
      </c>
      <c r="AC106" s="313">
        <v>46196</v>
      </c>
      <c r="AD106" s="314" t="s">
        <v>261</v>
      </c>
      <c r="AE106" s="315">
        <v>99.68</v>
      </c>
      <c r="AF106" s="48"/>
      <c r="AG106" s="5"/>
      <c r="AH106" s="5"/>
      <c r="BA106" s="5"/>
      <c r="BB106" s="5"/>
    </row>
    <row r="107" spans="2:55" ht="15" customHeight="1">
      <c r="B107" s="338"/>
      <c r="C107" s="215"/>
      <c r="D107" s="76"/>
      <c r="E107" s="67" t="str">
        <f t="shared" si="67"/>
        <v/>
      </c>
      <c r="F107" s="356"/>
      <c r="G107" s="345" t="str">
        <f>IF(B107="","",B107+C107)</f>
        <v/>
      </c>
      <c r="H107" s="345" t="str">
        <f>IFERROR(VLOOKUP(G107,$Z$5:$Z$174,1,0),"")</f>
        <v/>
      </c>
      <c r="I107" s="345" t="str">
        <f t="shared" si="68"/>
        <v/>
      </c>
      <c r="J107" s="358"/>
      <c r="K107" s="356"/>
      <c r="L107" s="359" t="str">
        <f>IF(K107="AV","8",IF(AND(G107="",H107=""),"",IF(G107=H107,"P",IF(G107&lt;&gt;H107,"O"))))</f>
        <v/>
      </c>
      <c r="M107" s="364"/>
      <c r="N107" s="349" t="str">
        <f t="shared" si="69"/>
        <v/>
      </c>
      <c r="O107" s="308"/>
      <c r="P107" s="308"/>
      <c r="Q107" s="308"/>
      <c r="R107" s="308"/>
      <c r="S107" s="308"/>
      <c r="T107" s="308"/>
      <c r="U107" s="308"/>
      <c r="V107" s="308"/>
      <c r="W107" s="308"/>
      <c r="X107" s="308"/>
      <c r="Y107" s="201">
        <f t="shared" si="70"/>
        <v>46380</v>
      </c>
      <c r="Z107" s="321">
        <f t="shared" si="51"/>
        <v>46380</v>
      </c>
      <c r="AA107" s="115" t="str">
        <f t="shared" si="52"/>
        <v>P</v>
      </c>
      <c r="AB107" s="164" t="str">
        <f t="shared" si="66"/>
        <v>GUTO</v>
      </c>
      <c r="AC107" s="313">
        <v>46190</v>
      </c>
      <c r="AD107" s="314" t="s">
        <v>262</v>
      </c>
      <c r="AE107" s="315">
        <v>190</v>
      </c>
      <c r="AF107" s="48"/>
      <c r="AG107" s="5"/>
      <c r="AH107" s="5"/>
      <c r="BA107" s="5"/>
      <c r="BB107" s="5"/>
    </row>
    <row r="108" spans="2:55" ht="15" customHeight="1">
      <c r="B108" s="308"/>
      <c r="C108" s="308"/>
      <c r="D108" s="308"/>
      <c r="E108" s="308"/>
      <c r="F108" s="308"/>
      <c r="G108" s="308"/>
      <c r="H108" s="308"/>
      <c r="I108" s="308"/>
      <c r="J108" s="308"/>
      <c r="K108" s="308"/>
      <c r="L108" s="308"/>
      <c r="M108" s="308"/>
      <c r="N108" s="308"/>
      <c r="O108" s="308"/>
      <c r="P108" s="308"/>
      <c r="Q108" s="308"/>
      <c r="R108" s="308"/>
      <c r="S108" s="308"/>
      <c r="T108" s="308"/>
      <c r="U108" s="308"/>
      <c r="V108" s="308"/>
      <c r="W108" s="308"/>
      <c r="X108" s="308"/>
      <c r="Y108" s="308"/>
      <c r="Z108" s="308"/>
      <c r="AA108" s="308"/>
      <c r="AB108" s="339"/>
      <c r="AC108" s="565">
        <f>SUM(AE5:AE107)</f>
        <v>6185.2099999999991</v>
      </c>
      <c r="AD108" s="566"/>
      <c r="AE108" s="567"/>
      <c r="AF108" s="112"/>
      <c r="AH108" s="5"/>
      <c r="AR108" s="18"/>
      <c r="AS108" s="18"/>
      <c r="AT108" s="18"/>
      <c r="AU108" s="18"/>
      <c r="AV108" s="18"/>
      <c r="AW108" s="18"/>
      <c r="AX108" s="18"/>
      <c r="AY108" s="18"/>
      <c r="AZ108" s="3"/>
      <c r="BA108" s="5"/>
      <c r="BB108" s="5"/>
    </row>
    <row r="109" spans="2:55" ht="15" customHeight="1">
      <c r="B109" s="545" t="s">
        <v>126</v>
      </c>
      <c r="C109" s="546"/>
      <c r="D109" s="547"/>
      <c r="E109" s="551">
        <f>SUM(E111:E118)</f>
        <v>0</v>
      </c>
      <c r="F109" s="552"/>
      <c r="G109" s="322"/>
      <c r="H109" s="220"/>
      <c r="I109" s="342" t="str">
        <f t="shared" si="41"/>
        <v/>
      </c>
      <c r="J109" s="699">
        <f>SUM(N111:N118)</f>
        <v>83.49</v>
      </c>
      <c r="K109" s="699"/>
      <c r="L109" s="700"/>
      <c r="M109" s="559">
        <f>SUM(E109,J109)</f>
        <v>83.49</v>
      </c>
      <c r="N109" s="560"/>
      <c r="O109" s="308"/>
      <c r="P109" s="308"/>
      <c r="Q109" s="308"/>
      <c r="R109" s="308"/>
      <c r="S109" s="308"/>
      <c r="T109" s="308"/>
      <c r="U109" s="308"/>
      <c r="V109" s="308"/>
      <c r="W109" s="308"/>
      <c r="X109" s="308"/>
      <c r="Y109" s="308"/>
      <c r="Z109" s="308"/>
      <c r="AA109" s="308"/>
      <c r="AB109" s="340"/>
      <c r="AC109" s="565"/>
      <c r="AD109" s="566"/>
      <c r="AE109" s="567"/>
      <c r="AF109" s="113"/>
      <c r="AH109" s="5"/>
    </row>
    <row r="110" spans="2:55" ht="15" customHeight="1">
      <c r="B110" s="548"/>
      <c r="C110" s="549"/>
      <c r="D110" s="550"/>
      <c r="E110" s="553"/>
      <c r="F110" s="554"/>
      <c r="G110" s="323"/>
      <c r="H110" s="222"/>
      <c r="I110" s="346" t="str">
        <f t="shared" si="41"/>
        <v/>
      </c>
      <c r="J110" s="701"/>
      <c r="K110" s="701"/>
      <c r="L110" s="702"/>
      <c r="M110" s="561"/>
      <c r="N110" s="562"/>
      <c r="O110" s="308"/>
      <c r="P110" s="308"/>
      <c r="Q110" s="308"/>
      <c r="R110" s="308"/>
      <c r="S110" s="308"/>
      <c r="T110" s="308"/>
      <c r="U110" s="308"/>
      <c r="V110" s="308"/>
      <c r="W110" s="308"/>
      <c r="X110" s="308"/>
      <c r="Y110" s="199" t="str">
        <f t="shared" ref="Y110:Y129" si="71">IFERROR(VLOOKUP(Z110,$G$12:$G$243,1,0),"")</f>
        <v/>
      </c>
      <c r="Z110" s="319" t="str">
        <f t="shared" si="51"/>
        <v/>
      </c>
      <c r="AA110" s="114" t="str">
        <f t="shared" si="52"/>
        <v/>
      </c>
      <c r="AB110" s="99" t="str">
        <f t="shared" ref="AB110:AB129" si="72">IF(Z110="","",IFERROR(VLOOKUP(Z110,$H$12:$I$243,2,0),""))</f>
        <v/>
      </c>
      <c r="AC110" s="121"/>
      <c r="AD110" s="42"/>
      <c r="AE110" s="163"/>
      <c r="AF110" s="568" t="s">
        <v>95</v>
      </c>
      <c r="AH110" s="5"/>
    </row>
    <row r="111" spans="2:55" ht="15" customHeight="1">
      <c r="B111" s="337">
        <v>83.49</v>
      </c>
      <c r="C111" s="191">
        <v>46279</v>
      </c>
      <c r="D111" s="74" t="s">
        <v>264</v>
      </c>
      <c r="E111" s="58" t="str">
        <f>IF(OR(B111="",F111="Pago"),"",B111)</f>
        <v/>
      </c>
      <c r="F111" s="351" t="s">
        <v>2</v>
      </c>
      <c r="G111" s="343">
        <f t="shared" ref="G111:G118" si="73">IF(B111="","",B111+C111)</f>
        <v>46362.49</v>
      </c>
      <c r="H111" s="344">
        <f t="shared" ref="H111:H118" si="74">IFERROR(VLOOKUP(G111,$Z$5:$Z$174,1,0),"")</f>
        <v>46362.49</v>
      </c>
      <c r="I111" s="343" t="str">
        <f>IF(OR(G111&lt;&gt;"",H111&lt;&gt;""),"FARMÁCIA","")</f>
        <v>FARMÁCIA</v>
      </c>
      <c r="J111" s="383" t="s">
        <v>89</v>
      </c>
      <c r="K111" s="385" t="s">
        <v>90</v>
      </c>
      <c r="L111" s="384" t="str">
        <f t="shared" ref="L111:L118" si="75">IF(K111="AV","8",IF(AND(G111="",H111=""),"",IF(G111=H111,"P",IF(G111&lt;&gt;H111,"O"))))</f>
        <v>P</v>
      </c>
      <c r="M111" s="354" t="s">
        <v>265</v>
      </c>
      <c r="N111" s="347">
        <f>IF(F111="Pago",B111,"")</f>
        <v>83.49</v>
      </c>
      <c r="O111" s="308"/>
      <c r="P111" s="308"/>
      <c r="Q111" s="308"/>
      <c r="R111" s="308"/>
      <c r="S111" s="308"/>
      <c r="T111" s="308"/>
      <c r="U111" s="308"/>
      <c r="V111" s="308"/>
      <c r="W111" s="308"/>
      <c r="X111" s="308"/>
      <c r="Y111" s="200" t="str">
        <f t="shared" si="71"/>
        <v/>
      </c>
      <c r="Z111" s="320" t="str">
        <f t="shared" si="51"/>
        <v/>
      </c>
      <c r="AA111" s="33" t="str">
        <f t="shared" si="52"/>
        <v/>
      </c>
      <c r="AB111" s="99" t="str">
        <f t="shared" si="72"/>
        <v/>
      </c>
      <c r="AC111" s="121"/>
      <c r="AD111" s="42"/>
      <c r="AE111" s="163"/>
      <c r="AF111" s="569"/>
      <c r="AH111" s="5"/>
    </row>
    <row r="112" spans="2:55" ht="15" customHeight="1">
      <c r="B112" s="337"/>
      <c r="C112" s="191"/>
      <c r="D112" s="74"/>
      <c r="E112" s="58" t="str">
        <f t="shared" ref="E112:E118" si="76">IF(OR(B112="",F112="Pago"),"",B112)</f>
        <v/>
      </c>
      <c r="F112" s="351"/>
      <c r="G112" s="343" t="str">
        <f t="shared" si="73"/>
        <v/>
      </c>
      <c r="H112" s="344" t="str">
        <f t="shared" si="74"/>
        <v/>
      </c>
      <c r="I112" s="343" t="str">
        <f t="shared" ref="I112:I118" si="77">IF(OR(G112&lt;&gt;"",H112&lt;&gt;""),"FARMÁCIA","")</f>
        <v/>
      </c>
      <c r="J112" s="383"/>
      <c r="K112" s="351"/>
      <c r="L112" s="384" t="str">
        <f t="shared" si="75"/>
        <v/>
      </c>
      <c r="M112" s="354"/>
      <c r="N112" s="348" t="str">
        <f t="shared" ref="N112:N118" si="78">IF(F112="Pago",B112,"")</f>
        <v/>
      </c>
      <c r="O112" s="308"/>
      <c r="P112" s="308"/>
      <c r="Q112" s="308"/>
      <c r="R112" s="308"/>
      <c r="S112" s="308"/>
      <c r="T112" s="308"/>
      <c r="U112" s="308"/>
      <c r="V112" s="308"/>
      <c r="W112" s="308"/>
      <c r="X112" s="308"/>
      <c r="Y112" s="200" t="str">
        <f t="shared" si="71"/>
        <v/>
      </c>
      <c r="Z112" s="320" t="str">
        <f t="shared" si="51"/>
        <v/>
      </c>
      <c r="AA112" s="33" t="str">
        <f t="shared" si="52"/>
        <v/>
      </c>
      <c r="AB112" s="99" t="str">
        <f t="shared" si="72"/>
        <v/>
      </c>
      <c r="AC112" s="121"/>
      <c r="AD112" s="42"/>
      <c r="AE112" s="163"/>
      <c r="AF112" s="569"/>
      <c r="AH112" s="5"/>
    </row>
    <row r="113" spans="2:34" ht="15" customHeight="1">
      <c r="B113" s="337"/>
      <c r="C113" s="191"/>
      <c r="D113" s="74"/>
      <c r="E113" s="58" t="str">
        <f t="shared" si="76"/>
        <v/>
      </c>
      <c r="F113" s="351"/>
      <c r="G113" s="343" t="str">
        <f t="shared" si="73"/>
        <v/>
      </c>
      <c r="H113" s="344" t="str">
        <f t="shared" si="74"/>
        <v/>
      </c>
      <c r="I113" s="343" t="str">
        <f t="shared" si="77"/>
        <v/>
      </c>
      <c r="J113" s="383"/>
      <c r="K113" s="351"/>
      <c r="L113" s="384" t="str">
        <f t="shared" si="75"/>
        <v/>
      </c>
      <c r="M113" s="354"/>
      <c r="N113" s="348" t="str">
        <f t="shared" si="78"/>
        <v/>
      </c>
      <c r="O113" s="308"/>
      <c r="P113" s="308"/>
      <c r="Q113" s="308"/>
      <c r="R113" s="308"/>
      <c r="S113" s="308"/>
      <c r="T113" s="308"/>
      <c r="U113" s="308"/>
      <c r="V113" s="308"/>
      <c r="W113" s="308"/>
      <c r="X113" s="308"/>
      <c r="Y113" s="200" t="str">
        <f t="shared" si="71"/>
        <v/>
      </c>
      <c r="Z113" s="320" t="str">
        <f t="shared" si="51"/>
        <v/>
      </c>
      <c r="AA113" s="33" t="str">
        <f t="shared" si="52"/>
        <v/>
      </c>
      <c r="AB113" s="99" t="str">
        <f t="shared" si="72"/>
        <v/>
      </c>
      <c r="AC113" s="121"/>
      <c r="AD113" s="42"/>
      <c r="AE113" s="163"/>
      <c r="AF113" s="48"/>
      <c r="AH113" s="5"/>
    </row>
    <row r="114" spans="2:34" ht="15" customHeight="1">
      <c r="B114" s="337"/>
      <c r="C114" s="191"/>
      <c r="D114" s="74"/>
      <c r="E114" s="58" t="str">
        <f t="shared" si="76"/>
        <v/>
      </c>
      <c r="F114" s="351"/>
      <c r="G114" s="343" t="str">
        <f t="shared" si="73"/>
        <v/>
      </c>
      <c r="H114" s="344" t="str">
        <f t="shared" si="74"/>
        <v/>
      </c>
      <c r="I114" s="343" t="str">
        <f t="shared" si="77"/>
        <v/>
      </c>
      <c r="J114" s="383"/>
      <c r="K114" s="351"/>
      <c r="L114" s="384" t="str">
        <f t="shared" si="75"/>
        <v/>
      </c>
      <c r="M114" s="354"/>
      <c r="N114" s="348" t="str">
        <f t="shared" si="78"/>
        <v/>
      </c>
      <c r="O114" s="308"/>
      <c r="P114" s="308"/>
      <c r="Q114" s="308"/>
      <c r="R114" s="308"/>
      <c r="S114" s="308"/>
      <c r="T114" s="308"/>
      <c r="U114" s="308"/>
      <c r="V114" s="308"/>
      <c r="W114" s="308"/>
      <c r="X114" s="308"/>
      <c r="Y114" s="200" t="str">
        <f t="shared" si="71"/>
        <v/>
      </c>
      <c r="Z114" s="320" t="str">
        <f t="shared" si="51"/>
        <v/>
      </c>
      <c r="AA114" s="33" t="str">
        <f t="shared" si="52"/>
        <v/>
      </c>
      <c r="AB114" s="99" t="str">
        <f t="shared" si="72"/>
        <v/>
      </c>
      <c r="AC114" s="121"/>
      <c r="AD114" s="42"/>
      <c r="AE114" s="163"/>
      <c r="AF114" s="48"/>
      <c r="AH114" s="5"/>
    </row>
    <row r="115" spans="2:34" ht="15" customHeight="1">
      <c r="B115" s="337"/>
      <c r="C115" s="191"/>
      <c r="D115" s="74"/>
      <c r="E115" s="58" t="str">
        <f t="shared" si="76"/>
        <v/>
      </c>
      <c r="F115" s="351"/>
      <c r="G115" s="343" t="str">
        <f t="shared" si="73"/>
        <v/>
      </c>
      <c r="H115" s="344" t="str">
        <f t="shared" si="74"/>
        <v/>
      </c>
      <c r="I115" s="343" t="str">
        <f t="shared" si="77"/>
        <v/>
      </c>
      <c r="J115" s="383"/>
      <c r="K115" s="351"/>
      <c r="L115" s="384" t="str">
        <f t="shared" si="75"/>
        <v/>
      </c>
      <c r="M115" s="354"/>
      <c r="N115" s="348" t="str">
        <f t="shared" si="78"/>
        <v/>
      </c>
      <c r="O115" s="308"/>
      <c r="P115" s="308"/>
      <c r="Q115" s="308"/>
      <c r="R115" s="308"/>
      <c r="S115" s="308"/>
      <c r="T115" s="308"/>
      <c r="U115" s="308"/>
      <c r="V115" s="308"/>
      <c r="W115" s="308"/>
      <c r="X115" s="308"/>
      <c r="Y115" s="200" t="str">
        <f t="shared" si="71"/>
        <v/>
      </c>
      <c r="Z115" s="320" t="str">
        <f t="shared" si="51"/>
        <v/>
      </c>
      <c r="AA115" s="33" t="str">
        <f t="shared" si="52"/>
        <v/>
      </c>
      <c r="AB115" s="99" t="str">
        <f t="shared" si="72"/>
        <v/>
      </c>
      <c r="AC115" s="121"/>
      <c r="AD115" s="42"/>
      <c r="AE115" s="163"/>
      <c r="AF115" s="48"/>
      <c r="AH115" s="5"/>
    </row>
    <row r="116" spans="2:34" ht="15" customHeight="1">
      <c r="B116" s="337"/>
      <c r="C116" s="191"/>
      <c r="D116" s="74"/>
      <c r="E116" s="58" t="str">
        <f t="shared" si="76"/>
        <v/>
      </c>
      <c r="F116" s="351"/>
      <c r="G116" s="343" t="str">
        <f t="shared" si="73"/>
        <v/>
      </c>
      <c r="H116" s="344" t="str">
        <f t="shared" si="74"/>
        <v/>
      </c>
      <c r="I116" s="343" t="str">
        <f t="shared" si="77"/>
        <v/>
      </c>
      <c r="J116" s="383"/>
      <c r="K116" s="351"/>
      <c r="L116" s="384" t="str">
        <f t="shared" si="75"/>
        <v/>
      </c>
      <c r="M116" s="354"/>
      <c r="N116" s="348" t="str">
        <f t="shared" si="78"/>
        <v/>
      </c>
      <c r="O116" s="308"/>
      <c r="P116" s="308"/>
      <c r="Q116" s="308"/>
      <c r="R116" s="308"/>
      <c r="S116" s="308"/>
      <c r="T116" s="308"/>
      <c r="U116" s="308"/>
      <c r="V116" s="308"/>
      <c r="W116" s="308"/>
      <c r="X116" s="308"/>
      <c r="Y116" s="200" t="str">
        <f t="shared" si="71"/>
        <v/>
      </c>
      <c r="Z116" s="320" t="str">
        <f t="shared" si="51"/>
        <v/>
      </c>
      <c r="AA116" s="33" t="str">
        <f t="shared" si="52"/>
        <v/>
      </c>
      <c r="AB116" s="99" t="str">
        <f t="shared" si="72"/>
        <v/>
      </c>
      <c r="AC116" s="103"/>
      <c r="AD116" s="109"/>
      <c r="AE116" s="101"/>
      <c r="AF116" s="48"/>
      <c r="AH116" s="5"/>
    </row>
    <row r="117" spans="2:34" ht="15" customHeight="1">
      <c r="B117" s="337"/>
      <c r="C117" s="191"/>
      <c r="D117" s="74"/>
      <c r="E117" s="58" t="str">
        <f t="shared" si="76"/>
        <v/>
      </c>
      <c r="F117" s="351"/>
      <c r="G117" s="343" t="str">
        <f t="shared" si="73"/>
        <v/>
      </c>
      <c r="H117" s="344" t="str">
        <f t="shared" si="74"/>
        <v/>
      </c>
      <c r="I117" s="343" t="str">
        <f t="shared" si="77"/>
        <v/>
      </c>
      <c r="J117" s="383"/>
      <c r="K117" s="351"/>
      <c r="L117" s="384" t="str">
        <f t="shared" si="75"/>
        <v/>
      </c>
      <c r="M117" s="355"/>
      <c r="N117" s="348" t="str">
        <f t="shared" si="78"/>
        <v/>
      </c>
      <c r="O117" s="308"/>
      <c r="P117" s="308"/>
      <c r="Q117" s="308"/>
      <c r="R117" s="308"/>
      <c r="S117" s="308"/>
      <c r="T117" s="308"/>
      <c r="U117" s="308"/>
      <c r="V117" s="308"/>
      <c r="W117" s="308"/>
      <c r="X117" s="308"/>
      <c r="Y117" s="200" t="str">
        <f t="shared" si="71"/>
        <v/>
      </c>
      <c r="Z117" s="320" t="str">
        <f t="shared" si="51"/>
        <v/>
      </c>
      <c r="AA117" s="33" t="str">
        <f t="shared" si="52"/>
        <v/>
      </c>
      <c r="AB117" s="99" t="str">
        <f t="shared" si="72"/>
        <v/>
      </c>
      <c r="AC117" s="103"/>
      <c r="AD117" s="109"/>
      <c r="AE117" s="101"/>
      <c r="AF117" s="48"/>
      <c r="AH117" s="5"/>
    </row>
    <row r="118" spans="2:34" ht="15" customHeight="1">
      <c r="B118" s="338"/>
      <c r="C118" s="215"/>
      <c r="D118" s="76"/>
      <c r="E118" s="67" t="str">
        <f t="shared" si="76"/>
        <v/>
      </c>
      <c r="F118" s="356"/>
      <c r="G118" s="345" t="str">
        <f t="shared" si="73"/>
        <v/>
      </c>
      <c r="H118" s="346" t="str">
        <f t="shared" si="74"/>
        <v/>
      </c>
      <c r="I118" s="345" t="str">
        <f t="shared" si="77"/>
        <v/>
      </c>
      <c r="J118" s="358"/>
      <c r="K118" s="356"/>
      <c r="L118" s="359" t="str">
        <f t="shared" si="75"/>
        <v/>
      </c>
      <c r="M118" s="363"/>
      <c r="N118" s="349" t="str">
        <f t="shared" si="78"/>
        <v/>
      </c>
      <c r="O118" s="308"/>
      <c r="P118" s="308"/>
      <c r="Q118" s="308"/>
      <c r="R118" s="308"/>
      <c r="S118" s="308"/>
      <c r="T118" s="308"/>
      <c r="U118" s="308"/>
      <c r="V118" s="308"/>
      <c r="W118" s="308"/>
      <c r="X118" s="308"/>
      <c r="Y118" s="200" t="str">
        <f t="shared" si="71"/>
        <v/>
      </c>
      <c r="Z118" s="320" t="str">
        <f t="shared" si="51"/>
        <v/>
      </c>
      <c r="AA118" s="33" t="str">
        <f t="shared" si="52"/>
        <v/>
      </c>
      <c r="AB118" s="99" t="str">
        <f t="shared" si="72"/>
        <v/>
      </c>
      <c r="AC118" s="103"/>
      <c r="AD118" s="109"/>
      <c r="AE118" s="101"/>
      <c r="AF118" s="48"/>
      <c r="AH118" s="5"/>
    </row>
    <row r="119" spans="2:34" ht="15" customHeight="1">
      <c r="B119" s="308"/>
      <c r="C119" s="308"/>
      <c r="D119" s="308"/>
      <c r="E119" s="308"/>
      <c r="F119" s="308"/>
      <c r="G119" s="308"/>
      <c r="H119" s="308"/>
      <c r="I119" s="308"/>
      <c r="J119" s="308"/>
      <c r="K119" s="308"/>
      <c r="L119" s="308"/>
      <c r="M119" s="308"/>
      <c r="N119" s="308"/>
      <c r="O119" s="308"/>
      <c r="P119" s="308"/>
      <c r="Q119" s="308"/>
      <c r="R119" s="308"/>
      <c r="S119" s="308"/>
      <c r="T119" s="308"/>
      <c r="U119" s="308"/>
      <c r="V119" s="308"/>
      <c r="W119" s="308"/>
      <c r="X119" s="308"/>
      <c r="Y119" s="200" t="str">
        <f t="shared" si="71"/>
        <v/>
      </c>
      <c r="Z119" s="320" t="str">
        <f t="shared" si="51"/>
        <v/>
      </c>
      <c r="AA119" s="33" t="str">
        <f t="shared" si="52"/>
        <v/>
      </c>
      <c r="AB119" s="99" t="str">
        <f t="shared" si="72"/>
        <v/>
      </c>
      <c r="AC119" s="103"/>
      <c r="AD119" s="109"/>
      <c r="AE119" s="101"/>
      <c r="AF119" s="48"/>
      <c r="AH119" s="5"/>
    </row>
    <row r="120" spans="2:34" ht="15" customHeight="1">
      <c r="B120" s="545" t="s">
        <v>121</v>
      </c>
      <c r="C120" s="546"/>
      <c r="D120" s="547"/>
      <c r="E120" s="551">
        <f>SUM(E122:E130)</f>
        <v>0</v>
      </c>
      <c r="F120" s="552"/>
      <c r="G120" s="322"/>
      <c r="H120" s="220"/>
      <c r="I120" s="342" t="str">
        <f t="shared" si="41"/>
        <v/>
      </c>
      <c r="J120" s="699">
        <f>SUM(N122:N130)</f>
        <v>168.75</v>
      </c>
      <c r="K120" s="699"/>
      <c r="L120" s="700"/>
      <c r="M120" s="559">
        <f>SUM(E120,J120)</f>
        <v>168.75</v>
      </c>
      <c r="N120" s="560"/>
      <c r="O120" s="312"/>
      <c r="P120" s="308"/>
      <c r="Q120" s="308"/>
      <c r="R120" s="308"/>
      <c r="S120" s="308"/>
      <c r="T120" s="308"/>
      <c r="U120" s="308"/>
      <c r="V120" s="308"/>
      <c r="W120" s="308"/>
      <c r="X120" s="308"/>
      <c r="Y120" s="200" t="str">
        <f t="shared" si="71"/>
        <v/>
      </c>
      <c r="Z120" s="320" t="str">
        <f t="shared" si="51"/>
        <v/>
      </c>
      <c r="AA120" s="33" t="str">
        <f t="shared" si="52"/>
        <v/>
      </c>
      <c r="AB120" s="99" t="str">
        <f t="shared" si="72"/>
        <v/>
      </c>
      <c r="AC120" s="103"/>
      <c r="AD120" s="109"/>
      <c r="AE120" s="101"/>
      <c r="AF120" s="48"/>
      <c r="AH120" s="5"/>
    </row>
    <row r="121" spans="2:34" ht="15" customHeight="1">
      <c r="B121" s="548"/>
      <c r="C121" s="549"/>
      <c r="D121" s="550"/>
      <c r="E121" s="553"/>
      <c r="F121" s="554"/>
      <c r="G121" s="323"/>
      <c r="H121" s="222"/>
      <c r="I121" s="346" t="str">
        <f t="shared" si="41"/>
        <v/>
      </c>
      <c r="J121" s="701"/>
      <c r="K121" s="701"/>
      <c r="L121" s="702"/>
      <c r="M121" s="561"/>
      <c r="N121" s="562"/>
      <c r="O121" s="308"/>
      <c r="P121" s="308"/>
      <c r="Q121" s="308"/>
      <c r="R121" s="308"/>
      <c r="S121" s="308"/>
      <c r="T121" s="308"/>
      <c r="U121" s="308"/>
      <c r="V121" s="308"/>
      <c r="W121" s="308"/>
      <c r="X121" s="308"/>
      <c r="Y121" s="200" t="str">
        <f t="shared" si="71"/>
        <v/>
      </c>
      <c r="Z121" s="320" t="str">
        <f t="shared" si="51"/>
        <v/>
      </c>
      <c r="AA121" s="33" t="str">
        <f t="shared" si="52"/>
        <v/>
      </c>
      <c r="AB121" s="99" t="str">
        <f t="shared" si="72"/>
        <v/>
      </c>
      <c r="AC121" s="103"/>
      <c r="AD121" s="109"/>
      <c r="AE121" s="101"/>
      <c r="AF121" s="48"/>
      <c r="AH121" s="5"/>
    </row>
    <row r="122" spans="2:34" ht="15" customHeight="1">
      <c r="B122" s="337">
        <v>68.75</v>
      </c>
      <c r="C122" s="191">
        <v>46248</v>
      </c>
      <c r="D122" s="185" t="s">
        <v>186</v>
      </c>
      <c r="E122" s="58" t="str">
        <f>IF(OR(B122="",F122="Pago"),"",B122)</f>
        <v/>
      </c>
      <c r="F122" s="351" t="s">
        <v>2</v>
      </c>
      <c r="G122" s="343">
        <f t="shared" ref="G122:G123" si="79">IF(B122="","",B122+C122)</f>
        <v>46316.75</v>
      </c>
      <c r="H122" s="344">
        <f t="shared" ref="H122:H130" si="80">IFERROR(VLOOKUP(G122,$Z$5:$Z$174,1,0),"")</f>
        <v>46316.75</v>
      </c>
      <c r="I122" s="343" t="str">
        <f>IF(OR(G122&lt;&gt;"",H122&lt;&gt;""),"MOTO","")</f>
        <v>MOTO</v>
      </c>
      <c r="J122" s="383" t="s">
        <v>94</v>
      </c>
      <c r="K122" s="385" t="s">
        <v>90</v>
      </c>
      <c r="L122" s="384" t="str">
        <f t="shared" ref="L122:L130" si="81">IF(K122="AV","8",IF(AND(G122="",H122=""),"",IF(G122=H122,"P",IF(G122&lt;&gt;H122,"O"))))</f>
        <v>P</v>
      </c>
      <c r="M122" s="361" t="s">
        <v>239</v>
      </c>
      <c r="N122" s="347">
        <f>IF(F122="Pago",B122,"")</f>
        <v>68.75</v>
      </c>
      <c r="O122" s="308"/>
      <c r="P122" s="308"/>
      <c r="Q122" s="308"/>
      <c r="R122" s="308"/>
      <c r="S122" s="308"/>
      <c r="T122" s="308"/>
      <c r="U122" s="308"/>
      <c r="V122" s="308"/>
      <c r="W122" s="308"/>
      <c r="X122" s="308"/>
      <c r="Y122" s="200" t="str">
        <f t="shared" si="71"/>
        <v/>
      </c>
      <c r="Z122" s="320" t="str">
        <f t="shared" si="51"/>
        <v/>
      </c>
      <c r="AA122" s="33" t="str">
        <f t="shared" si="52"/>
        <v/>
      </c>
      <c r="AB122" s="99" t="str">
        <f t="shared" si="72"/>
        <v/>
      </c>
      <c r="AC122" s="103"/>
      <c r="AD122" s="109"/>
      <c r="AE122" s="101"/>
      <c r="AF122" s="48"/>
      <c r="AH122" s="5"/>
    </row>
    <row r="123" spans="2:34" ht="15" customHeight="1">
      <c r="B123" s="337">
        <v>50</v>
      </c>
      <c r="C123" s="191">
        <v>46283</v>
      </c>
      <c r="D123" s="74" t="s">
        <v>59</v>
      </c>
      <c r="E123" s="58" t="str">
        <f>IF(OR(B123="",F123="Pago"),"",B123)</f>
        <v/>
      </c>
      <c r="F123" s="351" t="s">
        <v>2</v>
      </c>
      <c r="G123" s="343">
        <f t="shared" si="79"/>
        <v>46333</v>
      </c>
      <c r="H123" s="344">
        <f t="shared" si="80"/>
        <v>46333</v>
      </c>
      <c r="I123" s="343" t="str">
        <f t="shared" ref="I123:I130" si="82">IF(OR(G123&lt;&gt;"",H123&lt;&gt;""),"MOTO","")</f>
        <v>MOTO</v>
      </c>
      <c r="J123" s="383" t="s">
        <v>94</v>
      </c>
      <c r="K123" s="351" t="s">
        <v>90</v>
      </c>
      <c r="L123" s="384" t="str">
        <f t="shared" si="81"/>
        <v>P</v>
      </c>
      <c r="M123" s="362"/>
      <c r="N123" s="348">
        <f>IF(F123="Pago",B123,"")</f>
        <v>50</v>
      </c>
      <c r="O123" s="308"/>
      <c r="P123" s="308"/>
      <c r="Q123" s="308"/>
      <c r="R123" s="308"/>
      <c r="S123" s="308"/>
      <c r="T123" s="308"/>
      <c r="U123" s="308"/>
      <c r="V123" s="308"/>
      <c r="W123" s="308"/>
      <c r="X123" s="308"/>
      <c r="Y123" s="200" t="str">
        <f t="shared" si="71"/>
        <v/>
      </c>
      <c r="Z123" s="320" t="str">
        <f t="shared" si="51"/>
        <v/>
      </c>
      <c r="AA123" s="33" t="str">
        <f t="shared" si="52"/>
        <v/>
      </c>
      <c r="AB123" s="99" t="str">
        <f t="shared" si="72"/>
        <v/>
      </c>
      <c r="AC123" s="103"/>
      <c r="AD123" s="109"/>
      <c r="AE123" s="101"/>
      <c r="AF123" s="48"/>
      <c r="AH123" s="5"/>
    </row>
    <row r="124" spans="2:34" ht="15" customHeight="1">
      <c r="B124" s="337">
        <v>50</v>
      </c>
      <c r="C124" s="191">
        <v>46297</v>
      </c>
      <c r="D124" s="74" t="s">
        <v>382</v>
      </c>
      <c r="E124" s="58" t="str">
        <f t="shared" ref="E124:E127" si="83">IF(OR(B124="",F124="Pago"),"",B124)</f>
        <v/>
      </c>
      <c r="F124" s="351" t="s">
        <v>2</v>
      </c>
      <c r="G124" s="343">
        <f t="shared" ref="G124:G130" si="84">IF(B124="","",B124+C124)</f>
        <v>46347</v>
      </c>
      <c r="H124" s="344" t="str">
        <f t="shared" si="80"/>
        <v/>
      </c>
      <c r="I124" s="343" t="str">
        <f t="shared" si="82"/>
        <v>MOTO</v>
      </c>
      <c r="J124" s="383" t="s">
        <v>94</v>
      </c>
      <c r="K124" s="351" t="s">
        <v>118</v>
      </c>
      <c r="L124" s="384" t="str">
        <f t="shared" si="81"/>
        <v>8</v>
      </c>
      <c r="M124" s="354"/>
      <c r="N124" s="348">
        <f t="shared" ref="N124:N127" si="85">IF(F124="Pago",B124,"")</f>
        <v>50</v>
      </c>
      <c r="O124" s="308"/>
      <c r="P124" s="308"/>
      <c r="Q124" s="308"/>
      <c r="R124" s="308"/>
      <c r="S124" s="308"/>
      <c r="T124" s="308"/>
      <c r="U124" s="308"/>
      <c r="V124" s="308"/>
      <c r="W124" s="308"/>
      <c r="X124" s="308"/>
      <c r="Y124" s="200" t="str">
        <f t="shared" si="71"/>
        <v/>
      </c>
      <c r="Z124" s="320" t="str">
        <f t="shared" si="51"/>
        <v/>
      </c>
      <c r="AA124" s="33" t="str">
        <f t="shared" si="52"/>
        <v/>
      </c>
      <c r="AB124" s="99" t="str">
        <f t="shared" si="72"/>
        <v/>
      </c>
      <c r="AC124" s="103"/>
      <c r="AD124" s="109"/>
      <c r="AE124" s="101"/>
      <c r="AF124" s="48"/>
      <c r="AH124" s="5"/>
    </row>
    <row r="125" spans="2:34" ht="15" customHeight="1">
      <c r="B125" s="337"/>
      <c r="C125" s="191"/>
      <c r="D125" s="74"/>
      <c r="E125" s="58" t="str">
        <f t="shared" si="83"/>
        <v/>
      </c>
      <c r="F125" s="351"/>
      <c r="G125" s="343" t="str">
        <f t="shared" si="84"/>
        <v/>
      </c>
      <c r="H125" s="344" t="str">
        <f t="shared" si="80"/>
        <v/>
      </c>
      <c r="I125" s="343" t="str">
        <f t="shared" si="82"/>
        <v/>
      </c>
      <c r="J125" s="383"/>
      <c r="K125" s="351"/>
      <c r="L125" s="384" t="str">
        <f t="shared" si="81"/>
        <v/>
      </c>
      <c r="M125" s="354"/>
      <c r="N125" s="348" t="str">
        <f t="shared" si="85"/>
        <v/>
      </c>
      <c r="O125" s="308"/>
      <c r="P125" s="308"/>
      <c r="Q125" s="308"/>
      <c r="R125" s="308"/>
      <c r="S125" s="308"/>
      <c r="T125" s="308"/>
      <c r="U125" s="308"/>
      <c r="V125" s="308"/>
      <c r="W125" s="308"/>
      <c r="X125" s="308"/>
      <c r="Y125" s="200" t="str">
        <f t="shared" si="71"/>
        <v/>
      </c>
      <c r="Z125" s="320" t="str">
        <f t="shared" si="51"/>
        <v/>
      </c>
      <c r="AA125" s="33" t="str">
        <f t="shared" si="52"/>
        <v/>
      </c>
      <c r="AB125" s="99" t="str">
        <f t="shared" si="72"/>
        <v/>
      </c>
      <c r="AC125" s="103"/>
      <c r="AD125" s="109"/>
      <c r="AE125" s="101"/>
      <c r="AF125" s="48"/>
      <c r="AH125" s="5"/>
    </row>
    <row r="126" spans="2:34" ht="15" customHeight="1">
      <c r="B126" s="337"/>
      <c r="C126" s="191"/>
      <c r="D126" s="74"/>
      <c r="E126" s="58" t="str">
        <f t="shared" si="83"/>
        <v/>
      </c>
      <c r="F126" s="351"/>
      <c r="G126" s="343" t="str">
        <f t="shared" si="84"/>
        <v/>
      </c>
      <c r="H126" s="344" t="str">
        <f t="shared" si="80"/>
        <v/>
      </c>
      <c r="I126" s="343" t="str">
        <f t="shared" si="82"/>
        <v/>
      </c>
      <c r="J126" s="383"/>
      <c r="K126" s="351"/>
      <c r="L126" s="384" t="str">
        <f t="shared" si="81"/>
        <v/>
      </c>
      <c r="M126" s="354"/>
      <c r="N126" s="348" t="str">
        <f t="shared" si="85"/>
        <v/>
      </c>
      <c r="O126" s="308"/>
      <c r="P126" s="308"/>
      <c r="Q126" s="308"/>
      <c r="R126" s="308"/>
      <c r="S126" s="308"/>
      <c r="T126" s="308"/>
      <c r="U126" s="308"/>
      <c r="V126" s="308"/>
      <c r="W126" s="308"/>
      <c r="X126" s="308"/>
      <c r="Y126" s="200" t="str">
        <f t="shared" si="71"/>
        <v/>
      </c>
      <c r="Z126" s="320" t="str">
        <f t="shared" si="51"/>
        <v/>
      </c>
      <c r="AA126" s="33" t="str">
        <f t="shared" si="52"/>
        <v/>
      </c>
      <c r="AB126" s="99" t="str">
        <f t="shared" si="72"/>
        <v/>
      </c>
      <c r="AC126" s="103"/>
      <c r="AD126" s="109"/>
      <c r="AE126" s="101"/>
      <c r="AF126" s="48"/>
      <c r="AH126" s="5"/>
    </row>
    <row r="127" spans="2:34" ht="15" customHeight="1">
      <c r="B127" s="337"/>
      <c r="C127" s="191"/>
      <c r="D127" s="74"/>
      <c r="E127" s="58" t="str">
        <f t="shared" si="83"/>
        <v/>
      </c>
      <c r="F127" s="351"/>
      <c r="G127" s="343" t="str">
        <f t="shared" si="84"/>
        <v/>
      </c>
      <c r="H127" s="344" t="str">
        <f t="shared" si="80"/>
        <v/>
      </c>
      <c r="I127" s="343" t="str">
        <f t="shared" si="82"/>
        <v/>
      </c>
      <c r="J127" s="383"/>
      <c r="K127" s="351"/>
      <c r="L127" s="384" t="str">
        <f t="shared" si="81"/>
        <v/>
      </c>
      <c r="M127" s="354"/>
      <c r="N127" s="348" t="str">
        <f t="shared" si="85"/>
        <v/>
      </c>
      <c r="O127" s="308"/>
      <c r="P127" s="308"/>
      <c r="Q127" s="308"/>
      <c r="R127" s="308"/>
      <c r="S127" s="308"/>
      <c r="T127" s="308"/>
      <c r="U127" s="308"/>
      <c r="V127" s="308"/>
      <c r="W127" s="308"/>
      <c r="X127" s="308"/>
      <c r="Y127" s="200" t="str">
        <f t="shared" si="71"/>
        <v/>
      </c>
      <c r="Z127" s="320" t="str">
        <f t="shared" si="51"/>
        <v/>
      </c>
      <c r="AA127" s="33" t="str">
        <f t="shared" si="52"/>
        <v/>
      </c>
      <c r="AB127" s="99" t="str">
        <f t="shared" si="72"/>
        <v/>
      </c>
      <c r="AC127" s="103"/>
      <c r="AD127" s="109"/>
      <c r="AE127" s="101"/>
      <c r="AF127" s="48"/>
      <c r="AH127" s="5"/>
    </row>
    <row r="128" spans="2:34" ht="15" customHeight="1">
      <c r="B128" s="337"/>
      <c r="C128" s="191"/>
      <c r="D128" s="74"/>
      <c r="E128" s="58" t="str">
        <f t="shared" ref="E128" si="86">IF(OR(B128="",F128="Pago"),"",B128)</f>
        <v/>
      </c>
      <c r="F128" s="351"/>
      <c r="G128" s="343" t="str">
        <f t="shared" si="84"/>
        <v/>
      </c>
      <c r="H128" s="344" t="str">
        <f t="shared" si="80"/>
        <v/>
      </c>
      <c r="I128" s="343" t="str">
        <f t="shared" si="82"/>
        <v/>
      </c>
      <c r="J128" s="383"/>
      <c r="K128" s="351"/>
      <c r="L128" s="384" t="str">
        <f t="shared" si="81"/>
        <v/>
      </c>
      <c r="M128" s="354"/>
      <c r="N128" s="348" t="str">
        <f t="shared" ref="N128" si="87">IF(F128="Pago",B128,"")</f>
        <v/>
      </c>
      <c r="O128" s="308"/>
      <c r="P128" s="308"/>
      <c r="Q128" s="308"/>
      <c r="R128" s="308"/>
      <c r="S128" s="308"/>
      <c r="T128" s="308"/>
      <c r="U128" s="308"/>
      <c r="V128" s="308"/>
      <c r="W128" s="308"/>
      <c r="X128" s="308"/>
      <c r="Y128" s="200" t="str">
        <f t="shared" si="71"/>
        <v/>
      </c>
      <c r="Z128" s="320" t="str">
        <f t="shared" si="51"/>
        <v/>
      </c>
      <c r="AA128" s="33" t="str">
        <f t="shared" si="52"/>
        <v/>
      </c>
      <c r="AB128" s="99" t="str">
        <f t="shared" si="72"/>
        <v/>
      </c>
      <c r="AC128" s="103"/>
      <c r="AD128" s="109"/>
      <c r="AE128" s="101"/>
      <c r="AF128" s="48"/>
      <c r="AH128" s="5"/>
    </row>
    <row r="129" spans="2:34" ht="15" customHeight="1">
      <c r="B129" s="337"/>
      <c r="C129" s="191"/>
      <c r="D129" s="74"/>
      <c r="E129" s="58" t="str">
        <f>IF(OR(B129="",F129="Pago"),"",B129)</f>
        <v/>
      </c>
      <c r="F129" s="351"/>
      <c r="G129" s="343" t="str">
        <f t="shared" si="84"/>
        <v/>
      </c>
      <c r="H129" s="344" t="str">
        <f t="shared" si="80"/>
        <v/>
      </c>
      <c r="I129" s="343" t="str">
        <f t="shared" si="82"/>
        <v/>
      </c>
      <c r="J129" s="383"/>
      <c r="K129" s="351"/>
      <c r="L129" s="384" t="str">
        <f t="shared" si="81"/>
        <v/>
      </c>
      <c r="M129" s="355"/>
      <c r="N129" s="348" t="str">
        <f>IF(F129="Pago",B129,"")</f>
        <v/>
      </c>
      <c r="O129" s="308"/>
      <c r="P129" s="308"/>
      <c r="Q129" s="308"/>
      <c r="R129" s="308"/>
      <c r="S129" s="308"/>
      <c r="T129" s="308"/>
      <c r="U129" s="308"/>
      <c r="V129" s="308"/>
      <c r="W129" s="308"/>
      <c r="X129" s="308"/>
      <c r="Y129" s="200">
        <f t="shared" si="71"/>
        <v>46470</v>
      </c>
      <c r="Z129" s="321">
        <f t="shared" si="51"/>
        <v>46470</v>
      </c>
      <c r="AA129" s="115" t="str">
        <f t="shared" si="52"/>
        <v>P</v>
      </c>
      <c r="AB129" s="99" t="str">
        <f t="shared" si="72"/>
        <v>GUTO</v>
      </c>
      <c r="AC129" s="218">
        <v>46118</v>
      </c>
      <c r="AD129" s="289" t="s">
        <v>263</v>
      </c>
      <c r="AE129" s="163">
        <v>352</v>
      </c>
      <c r="AF129" s="116"/>
      <c r="AH129" s="5"/>
    </row>
    <row r="130" spans="2:34" ht="15" customHeight="1">
      <c r="B130" s="338"/>
      <c r="C130" s="215"/>
      <c r="D130" s="76"/>
      <c r="E130" s="67" t="str">
        <f>IF(OR(B130="",F130="Pago"),"",B130)</f>
        <v/>
      </c>
      <c r="F130" s="356"/>
      <c r="G130" s="345" t="str">
        <f t="shared" si="84"/>
        <v/>
      </c>
      <c r="H130" s="346" t="str">
        <f t="shared" si="80"/>
        <v/>
      </c>
      <c r="I130" s="345" t="str">
        <f t="shared" si="82"/>
        <v/>
      </c>
      <c r="J130" s="358"/>
      <c r="K130" s="356"/>
      <c r="L130" s="359" t="str">
        <f t="shared" si="81"/>
        <v/>
      </c>
      <c r="M130" s="363"/>
      <c r="N130" s="349" t="str">
        <f>IF(F130="Pago",B130,"")</f>
        <v/>
      </c>
      <c r="O130" s="308"/>
      <c r="P130" s="308"/>
      <c r="Q130" s="308"/>
      <c r="R130" s="308"/>
      <c r="S130" s="308"/>
      <c r="T130" s="308"/>
      <c r="U130" s="308"/>
      <c r="V130" s="308"/>
      <c r="W130" s="308"/>
      <c r="X130" s="308"/>
      <c r="Y130" s="308"/>
      <c r="Z130" s="308"/>
      <c r="AA130" s="308"/>
      <c r="AB130" s="339"/>
      <c r="AC130" s="565">
        <f>SUM(AE110:AE129)</f>
        <v>352</v>
      </c>
      <c r="AD130" s="566"/>
      <c r="AE130" s="567"/>
      <c r="AH130" s="5"/>
    </row>
    <row r="131" spans="2:34" ht="15" customHeight="1">
      <c r="B131" s="308"/>
      <c r="C131" s="308"/>
      <c r="D131" s="308"/>
      <c r="E131" s="308"/>
      <c r="F131" s="308"/>
      <c r="G131" s="308"/>
      <c r="H131" s="308"/>
      <c r="I131" s="308"/>
      <c r="J131" s="308"/>
      <c r="K131" s="308"/>
      <c r="L131" s="308"/>
      <c r="M131" s="308"/>
      <c r="N131" s="308"/>
      <c r="O131" s="308"/>
      <c r="P131" s="308"/>
      <c r="Q131" s="308"/>
      <c r="R131" s="308"/>
      <c r="S131" s="308"/>
      <c r="T131" s="308"/>
      <c r="U131" s="308"/>
      <c r="V131" s="308"/>
      <c r="W131" s="308"/>
      <c r="X131" s="308"/>
      <c r="Y131" s="308"/>
      <c r="Z131" s="308"/>
      <c r="AA131" s="308"/>
      <c r="AB131" s="340"/>
      <c r="AC131" s="565"/>
      <c r="AD131" s="566"/>
      <c r="AE131" s="567"/>
      <c r="AH131" s="5"/>
    </row>
    <row r="132" spans="2:34" ht="15" customHeight="1">
      <c r="B132" s="545" t="s">
        <v>120</v>
      </c>
      <c r="C132" s="546"/>
      <c r="D132" s="547"/>
      <c r="E132" s="551">
        <f>SUM(E134:E142)</f>
        <v>0</v>
      </c>
      <c r="F132" s="552"/>
      <c r="G132" s="322"/>
      <c r="H132" s="220"/>
      <c r="I132" s="342" t="str">
        <f t="shared" ref="I132:I180" si="88">IF(OR(G132&lt;&gt;"",H132&lt;&gt;""),"SUPER","")</f>
        <v/>
      </c>
      <c r="J132" s="699">
        <f>SUM(N134:N142)</f>
        <v>1046.3600000000001</v>
      </c>
      <c r="K132" s="699"/>
      <c r="L132" s="700"/>
      <c r="M132" s="559">
        <f>SUM(E132,J132)</f>
        <v>1046.3600000000001</v>
      </c>
      <c r="N132" s="560"/>
      <c r="O132" s="308"/>
      <c r="P132" s="308"/>
      <c r="Q132" s="308"/>
      <c r="R132" s="308"/>
      <c r="S132" s="308"/>
      <c r="T132" s="308"/>
      <c r="U132" s="308"/>
      <c r="V132" s="308"/>
      <c r="W132" s="308"/>
      <c r="X132" s="308"/>
      <c r="Y132" s="199" t="str">
        <f t="shared" ref="Y132:Y151" si="89">IFERROR(VLOOKUP(Z132,$G$12:$G$243,1,0),"")</f>
        <v/>
      </c>
      <c r="Z132" s="319" t="str">
        <f t="shared" si="51"/>
        <v/>
      </c>
      <c r="AA132" s="114" t="str">
        <f t="shared" si="52"/>
        <v/>
      </c>
      <c r="AB132" s="99" t="str">
        <f t="shared" ref="AB132:AB151" si="90">IF(Z132="","",IFERROR(VLOOKUP(Z132,$H$12:$I$243,2,0),""))</f>
        <v/>
      </c>
      <c r="AC132" s="103"/>
      <c r="AD132" s="109"/>
      <c r="AE132" s="101"/>
      <c r="AF132" s="568" t="s">
        <v>99</v>
      </c>
      <c r="AH132" s="5"/>
    </row>
    <row r="133" spans="2:34" ht="15" customHeight="1">
      <c r="B133" s="548"/>
      <c r="C133" s="549"/>
      <c r="D133" s="550"/>
      <c r="E133" s="553"/>
      <c r="F133" s="554"/>
      <c r="G133" s="323"/>
      <c r="H133" s="222"/>
      <c r="I133" s="346" t="str">
        <f t="shared" si="88"/>
        <v/>
      </c>
      <c r="J133" s="701"/>
      <c r="K133" s="701"/>
      <c r="L133" s="702"/>
      <c r="M133" s="561"/>
      <c r="N133" s="562"/>
      <c r="O133" s="308"/>
      <c r="P133" s="308"/>
      <c r="Q133" s="308"/>
      <c r="R133" s="308"/>
      <c r="S133" s="308"/>
      <c r="T133" s="308"/>
      <c r="U133" s="308"/>
      <c r="V133" s="308"/>
      <c r="W133" s="308"/>
      <c r="X133" s="308"/>
      <c r="Y133" s="200" t="str">
        <f t="shared" si="89"/>
        <v/>
      </c>
      <c r="Z133" s="320" t="str">
        <f t="shared" si="51"/>
        <v/>
      </c>
      <c r="AA133" s="33" t="str">
        <f t="shared" si="52"/>
        <v/>
      </c>
      <c r="AB133" s="99" t="str">
        <f t="shared" si="90"/>
        <v/>
      </c>
      <c r="AC133" s="103"/>
      <c r="AD133" s="109"/>
      <c r="AE133" s="101"/>
      <c r="AF133" s="569"/>
      <c r="AH133" s="5"/>
    </row>
    <row r="134" spans="2:34" ht="15" customHeight="1">
      <c r="B134" s="337">
        <v>100</v>
      </c>
      <c r="C134" s="191">
        <v>46277</v>
      </c>
      <c r="D134" s="74" t="s">
        <v>25</v>
      </c>
      <c r="E134" s="58" t="str">
        <f>IF(OR(B134="",F134="Pago"),"",B134)</f>
        <v/>
      </c>
      <c r="F134" s="351" t="s">
        <v>2</v>
      </c>
      <c r="G134" s="343">
        <f>IF(B134="","",B134+C134)</f>
        <v>46377</v>
      </c>
      <c r="H134" s="344">
        <f t="shared" ref="H134:H142" si="91">IFERROR(VLOOKUP(G134,$Z$5:$Z$174,1,0),"")</f>
        <v>46377</v>
      </c>
      <c r="I134" s="343" t="str">
        <f>IF(OR(G134&lt;&gt;"",H134&lt;&gt;""),"CARRO","")</f>
        <v>CARRO</v>
      </c>
      <c r="J134" s="383" t="s">
        <v>94</v>
      </c>
      <c r="K134" s="385" t="s">
        <v>90</v>
      </c>
      <c r="L134" s="384" t="str">
        <f>IF(K134="AV","8",IF(AND(G134="",H134=""),"",IF(G134=H134,"P",IF(G134&lt;&gt;H134,"O"))))</f>
        <v>P</v>
      </c>
      <c r="M134" s="354"/>
      <c r="N134" s="347">
        <f>IF(F134="Pago",B134,"")</f>
        <v>100</v>
      </c>
      <c r="O134" s="308"/>
      <c r="P134" s="308"/>
      <c r="Q134" s="308"/>
      <c r="R134" s="308"/>
      <c r="S134" s="308"/>
      <c r="T134" s="308"/>
      <c r="U134" s="308"/>
      <c r="V134" s="308"/>
      <c r="W134" s="308"/>
      <c r="X134" s="308"/>
      <c r="Y134" s="200" t="str">
        <f t="shared" si="89"/>
        <v/>
      </c>
      <c r="Z134" s="320" t="str">
        <f t="shared" ref="Z134:Z173" si="92">IF(AE134="","",AC134+AE134)</f>
        <v/>
      </c>
      <c r="AA134" s="33" t="str">
        <f t="shared" ref="AA134:AA173" si="93">IF(AND(Y134="",Z134=""),"",IF(Y134=Z134,"P",IF(Y134&lt;&gt;Z134,"O")))</f>
        <v/>
      </c>
      <c r="AB134" s="99" t="str">
        <f t="shared" si="90"/>
        <v/>
      </c>
      <c r="AC134" s="103"/>
      <c r="AD134" s="109"/>
      <c r="AE134" s="101"/>
      <c r="AF134" s="569"/>
      <c r="AH134" s="5"/>
    </row>
    <row r="135" spans="2:34" ht="15" customHeight="1">
      <c r="B135" s="337">
        <v>112.5</v>
      </c>
      <c r="C135" s="191">
        <v>46281</v>
      </c>
      <c r="D135" s="74" t="s">
        <v>274</v>
      </c>
      <c r="E135" s="58" t="str">
        <f>IF(OR(B135="",F135="Pago"),"",B135)</f>
        <v/>
      </c>
      <c r="F135" s="351" t="s">
        <v>2</v>
      </c>
      <c r="G135" s="343">
        <f>IF(B135="","",B135+C135)</f>
        <v>46393.5</v>
      </c>
      <c r="H135" s="344">
        <f t="shared" si="91"/>
        <v>46393.5</v>
      </c>
      <c r="I135" s="343" t="str">
        <f t="shared" ref="I135:I142" si="94">IF(OR(G135&lt;&gt;"",H135&lt;&gt;""),"CARRO","")</f>
        <v>CARRO</v>
      </c>
      <c r="J135" s="383" t="s">
        <v>94</v>
      </c>
      <c r="K135" s="351" t="s">
        <v>90</v>
      </c>
      <c r="L135" s="384" t="str">
        <f>IF(K135="AV","8",IF(AND(G135="",H135=""),"",IF(G135=H135,"P",IF(G135&lt;&gt;H135,"O"))))</f>
        <v>P</v>
      </c>
      <c r="M135" s="354" t="s">
        <v>275</v>
      </c>
      <c r="N135" s="348">
        <f>IF(F135="Pago",B135,"")</f>
        <v>112.5</v>
      </c>
      <c r="O135" s="308"/>
      <c r="P135" s="308"/>
      <c r="Q135" s="308"/>
      <c r="R135" s="308"/>
      <c r="S135" s="308"/>
      <c r="T135" s="308"/>
      <c r="U135" s="308"/>
      <c r="V135" s="308"/>
      <c r="W135" s="308"/>
      <c r="X135" s="308"/>
      <c r="Y135" s="200" t="str">
        <f t="shared" si="89"/>
        <v/>
      </c>
      <c r="Z135" s="320" t="str">
        <f t="shared" si="92"/>
        <v/>
      </c>
      <c r="AA135" s="33" t="str">
        <f t="shared" si="93"/>
        <v/>
      </c>
      <c r="AB135" s="99" t="str">
        <f t="shared" si="90"/>
        <v/>
      </c>
      <c r="AC135" s="121"/>
      <c r="AD135" s="42"/>
      <c r="AE135" s="163"/>
      <c r="AF135" s="48"/>
      <c r="AH135" s="5"/>
    </row>
    <row r="136" spans="2:34" ht="15" customHeight="1">
      <c r="B136" s="337">
        <v>19.86</v>
      </c>
      <c r="C136" s="191">
        <v>46283</v>
      </c>
      <c r="D136" s="74" t="s">
        <v>283</v>
      </c>
      <c r="E136" s="58" t="str">
        <f t="shared" ref="E136:E142" si="95">IF(OR(B136="",F136="Pago"),"",B136)</f>
        <v/>
      </c>
      <c r="F136" s="351" t="s">
        <v>2</v>
      </c>
      <c r="G136" s="343">
        <f>IF(B136="","",B136+C136)</f>
        <v>46302.86</v>
      </c>
      <c r="H136" s="344">
        <f t="shared" si="91"/>
        <v>46302.86</v>
      </c>
      <c r="I136" s="343" t="str">
        <f t="shared" si="94"/>
        <v>CARRO</v>
      </c>
      <c r="J136" s="383" t="s">
        <v>94</v>
      </c>
      <c r="K136" s="351" t="s">
        <v>8</v>
      </c>
      <c r="L136" s="384" t="str">
        <f>IF(K136="AV","8",IF(AND(G136="",H136=""),"",IF(G136=H136,"P",IF(G136&lt;&gt;H136,"O"))))</f>
        <v>P</v>
      </c>
      <c r="M136" s="354"/>
      <c r="N136" s="348">
        <f t="shared" ref="N136:N142" si="96">IF(F136="Pago",B136,"")</f>
        <v>19.86</v>
      </c>
      <c r="O136" s="308"/>
      <c r="P136" s="308"/>
      <c r="Q136" s="308"/>
      <c r="R136" s="308"/>
      <c r="S136" s="308"/>
      <c r="T136" s="308"/>
      <c r="U136" s="308"/>
      <c r="V136" s="308"/>
      <c r="W136" s="308"/>
      <c r="X136" s="308"/>
      <c r="Y136" s="200" t="str">
        <f t="shared" si="89"/>
        <v/>
      </c>
      <c r="Z136" s="320" t="str">
        <f t="shared" si="92"/>
        <v/>
      </c>
      <c r="AA136" s="33" t="str">
        <f t="shared" si="93"/>
        <v/>
      </c>
      <c r="AB136" s="99" t="str">
        <f t="shared" si="90"/>
        <v/>
      </c>
      <c r="AC136" s="121"/>
      <c r="AD136" s="42"/>
      <c r="AE136" s="163"/>
      <c r="AF136" s="48"/>
      <c r="AH136" s="5"/>
    </row>
    <row r="137" spans="2:34" ht="15" customHeight="1">
      <c r="B137" s="337">
        <v>35</v>
      </c>
      <c r="C137" s="191">
        <v>46284</v>
      </c>
      <c r="D137" s="74" t="s">
        <v>289</v>
      </c>
      <c r="E137" s="58" t="str">
        <f t="shared" si="95"/>
        <v/>
      </c>
      <c r="F137" s="351" t="s">
        <v>2</v>
      </c>
      <c r="G137" s="343">
        <f>IF(B137="","",B137+C137)</f>
        <v>46319</v>
      </c>
      <c r="H137" s="344">
        <f t="shared" si="91"/>
        <v>46319</v>
      </c>
      <c r="I137" s="343" t="str">
        <f t="shared" si="94"/>
        <v>CARRO</v>
      </c>
      <c r="J137" s="383" t="s">
        <v>94</v>
      </c>
      <c r="K137" s="351" t="s">
        <v>90</v>
      </c>
      <c r="L137" s="384" t="str">
        <f>IF(K137="AV","8",IF(AND(G137="",H137=""),"",IF(G137=H137,"P",IF(G137&lt;&gt;H137,"O"))))</f>
        <v>P</v>
      </c>
      <c r="M137" s="354"/>
      <c r="N137" s="348">
        <f t="shared" si="96"/>
        <v>35</v>
      </c>
      <c r="O137" s="308"/>
      <c r="P137" s="308"/>
      <c r="Q137" s="308"/>
      <c r="R137" s="308"/>
      <c r="S137" s="308"/>
      <c r="T137" s="308"/>
      <c r="U137" s="308"/>
      <c r="V137" s="308"/>
      <c r="W137" s="308"/>
      <c r="X137" s="308"/>
      <c r="Y137" s="200" t="str">
        <f t="shared" si="89"/>
        <v/>
      </c>
      <c r="Z137" s="320" t="str">
        <f t="shared" si="92"/>
        <v/>
      </c>
      <c r="AA137" s="33" t="str">
        <f t="shared" si="93"/>
        <v/>
      </c>
      <c r="AB137" s="99" t="str">
        <f t="shared" si="90"/>
        <v/>
      </c>
      <c r="AC137" s="121"/>
      <c r="AD137" s="42"/>
      <c r="AE137" s="163"/>
      <c r="AF137" s="48"/>
      <c r="AH137" s="5"/>
    </row>
    <row r="138" spans="2:34" ht="15" customHeight="1">
      <c r="B138" s="337">
        <v>125</v>
      </c>
      <c r="C138" s="191">
        <v>46284</v>
      </c>
      <c r="D138" s="74" t="s">
        <v>290</v>
      </c>
      <c r="E138" s="58" t="str">
        <f t="shared" si="95"/>
        <v/>
      </c>
      <c r="F138" s="351" t="s">
        <v>2</v>
      </c>
      <c r="G138" s="343">
        <f>IF(B138="","",B138+C138)</f>
        <v>46409</v>
      </c>
      <c r="H138" s="343">
        <f t="shared" si="91"/>
        <v>46409</v>
      </c>
      <c r="I138" s="343" t="str">
        <f t="shared" si="94"/>
        <v>CARRO</v>
      </c>
      <c r="J138" s="383" t="s">
        <v>94</v>
      </c>
      <c r="K138" s="351" t="s">
        <v>90</v>
      </c>
      <c r="L138" s="384" t="str">
        <f>IF(K138="AV","8",IF(AND(G138="",H138=""),"",IF(G138=H138,"P",IF(G138&lt;&gt;H138,"O"))))</f>
        <v>P</v>
      </c>
      <c r="M138" s="355" t="s">
        <v>265</v>
      </c>
      <c r="N138" s="348">
        <f t="shared" si="96"/>
        <v>125</v>
      </c>
      <c r="O138" s="308"/>
      <c r="P138" s="308"/>
      <c r="Q138" s="308"/>
      <c r="R138" s="308"/>
      <c r="S138" s="308"/>
      <c r="T138" s="308"/>
      <c r="U138" s="308"/>
      <c r="V138" s="308"/>
      <c r="W138" s="308"/>
      <c r="X138" s="308"/>
      <c r="Y138" s="200" t="str">
        <f t="shared" si="89"/>
        <v/>
      </c>
      <c r="Z138" s="320" t="str">
        <f t="shared" si="92"/>
        <v/>
      </c>
      <c r="AA138" s="33" t="str">
        <f t="shared" si="93"/>
        <v/>
      </c>
      <c r="AB138" s="99" t="str">
        <f t="shared" si="90"/>
        <v/>
      </c>
      <c r="AC138" s="121"/>
      <c r="AD138" s="42"/>
      <c r="AE138" s="163"/>
      <c r="AF138" s="48"/>
      <c r="AH138" s="5"/>
    </row>
    <row r="139" spans="2:34" ht="15" customHeight="1">
      <c r="B139" s="337">
        <v>354</v>
      </c>
      <c r="C139" s="191">
        <v>46296</v>
      </c>
      <c r="D139" s="74" t="s">
        <v>345</v>
      </c>
      <c r="E139" s="58" t="str">
        <f t="shared" si="95"/>
        <v/>
      </c>
      <c r="F139" s="351" t="s">
        <v>2</v>
      </c>
      <c r="G139" s="343">
        <f t="shared" ref="G139:G142" si="97">IF(B139="","",B139+C139)</f>
        <v>46650</v>
      </c>
      <c r="H139" s="343">
        <f t="shared" si="91"/>
        <v>46650</v>
      </c>
      <c r="I139" s="343" t="str">
        <f t="shared" si="94"/>
        <v>CARRO</v>
      </c>
      <c r="J139" s="383" t="s">
        <v>94</v>
      </c>
      <c r="K139" s="351" t="s">
        <v>90</v>
      </c>
      <c r="L139" s="384" t="str">
        <f t="shared" ref="L139:L142" si="98">IF(K139="AV","8",IF(AND(G139="",H139=""),"",IF(G139=H139,"P",IF(G139&lt;&gt;H139,"O"))))</f>
        <v>P</v>
      </c>
      <c r="M139" s="352"/>
      <c r="N139" s="348">
        <f t="shared" si="96"/>
        <v>354</v>
      </c>
      <c r="O139" s="308"/>
      <c r="P139" s="308"/>
      <c r="Q139" s="308"/>
      <c r="R139" s="308"/>
      <c r="S139" s="308"/>
      <c r="T139" s="308"/>
      <c r="U139" s="308"/>
      <c r="V139" s="308"/>
      <c r="W139" s="308"/>
      <c r="X139" s="308"/>
      <c r="Y139" s="200" t="str">
        <f t="shared" si="89"/>
        <v/>
      </c>
      <c r="Z139" s="320" t="str">
        <f t="shared" si="92"/>
        <v/>
      </c>
      <c r="AA139" s="33" t="str">
        <f t="shared" si="93"/>
        <v/>
      </c>
      <c r="AB139" s="99" t="str">
        <f t="shared" si="90"/>
        <v/>
      </c>
      <c r="AC139" s="121"/>
      <c r="AD139" s="42"/>
      <c r="AE139" s="163"/>
      <c r="AF139" s="48"/>
      <c r="AH139" s="5"/>
    </row>
    <row r="140" spans="2:34" ht="15" customHeight="1">
      <c r="B140" s="337">
        <v>150</v>
      </c>
      <c r="C140" s="191">
        <v>46298</v>
      </c>
      <c r="D140" s="74" t="s">
        <v>25</v>
      </c>
      <c r="E140" s="58" t="str">
        <f t="shared" si="95"/>
        <v/>
      </c>
      <c r="F140" s="351" t="s">
        <v>2</v>
      </c>
      <c r="G140" s="343">
        <f t="shared" si="97"/>
        <v>46448</v>
      </c>
      <c r="H140" s="343">
        <f t="shared" si="91"/>
        <v>46448</v>
      </c>
      <c r="I140" s="343" t="str">
        <f t="shared" si="94"/>
        <v>CARRO</v>
      </c>
      <c r="J140" s="383" t="s">
        <v>94</v>
      </c>
      <c r="K140" s="351" t="s">
        <v>90</v>
      </c>
      <c r="L140" s="384" t="str">
        <f t="shared" si="98"/>
        <v>P</v>
      </c>
      <c r="M140" s="352"/>
      <c r="N140" s="348">
        <f t="shared" si="96"/>
        <v>150</v>
      </c>
      <c r="O140" s="308"/>
      <c r="P140" s="308"/>
      <c r="Q140" s="308"/>
      <c r="R140" s="308"/>
      <c r="S140" s="308"/>
      <c r="T140" s="308"/>
      <c r="U140" s="308"/>
      <c r="V140" s="308"/>
      <c r="W140" s="308"/>
      <c r="X140" s="308"/>
      <c r="Y140" s="200" t="str">
        <f t="shared" si="89"/>
        <v/>
      </c>
      <c r="Z140" s="320" t="str">
        <f t="shared" si="92"/>
        <v/>
      </c>
      <c r="AA140" s="33" t="str">
        <f t="shared" si="93"/>
        <v/>
      </c>
      <c r="AB140" s="99" t="str">
        <f t="shared" si="90"/>
        <v/>
      </c>
      <c r="AC140" s="121"/>
      <c r="AD140" s="42"/>
      <c r="AE140" s="163"/>
      <c r="AF140" s="48"/>
      <c r="AH140" s="5"/>
    </row>
    <row r="141" spans="2:34" ht="15" customHeight="1">
      <c r="B141" s="337">
        <v>150</v>
      </c>
      <c r="C141" s="191">
        <v>46297</v>
      </c>
      <c r="D141" s="74" t="s">
        <v>381</v>
      </c>
      <c r="E141" s="58" t="str">
        <f t="shared" si="95"/>
        <v/>
      </c>
      <c r="F141" s="351" t="s">
        <v>2</v>
      </c>
      <c r="G141" s="343">
        <f t="shared" si="97"/>
        <v>46447</v>
      </c>
      <c r="H141" s="343" t="str">
        <f t="shared" si="91"/>
        <v/>
      </c>
      <c r="I141" s="343" t="str">
        <f t="shared" si="94"/>
        <v>CARRO</v>
      </c>
      <c r="J141" s="383" t="s">
        <v>94</v>
      </c>
      <c r="K141" s="351" t="s">
        <v>118</v>
      </c>
      <c r="L141" s="384" t="str">
        <f t="shared" si="98"/>
        <v>8</v>
      </c>
      <c r="M141" s="352"/>
      <c r="N141" s="348">
        <f t="shared" si="96"/>
        <v>150</v>
      </c>
      <c r="O141" s="308"/>
      <c r="P141" s="308"/>
      <c r="Q141" s="308"/>
      <c r="R141" s="308"/>
      <c r="S141" s="308"/>
      <c r="T141" s="308"/>
      <c r="U141" s="308"/>
      <c r="V141" s="308"/>
      <c r="W141" s="308"/>
      <c r="X141" s="308"/>
      <c r="Y141" s="200" t="str">
        <f t="shared" si="89"/>
        <v/>
      </c>
      <c r="Z141" s="320" t="str">
        <f t="shared" si="92"/>
        <v/>
      </c>
      <c r="AA141" s="33" t="str">
        <f t="shared" si="93"/>
        <v/>
      </c>
      <c r="AB141" s="99" t="str">
        <f t="shared" si="90"/>
        <v/>
      </c>
      <c r="AC141" s="121"/>
      <c r="AD141" s="42"/>
      <c r="AE141" s="163"/>
      <c r="AF141" s="48"/>
      <c r="AH141" s="5"/>
    </row>
    <row r="142" spans="2:34" ht="15" customHeight="1">
      <c r="B142" s="338"/>
      <c r="C142" s="215"/>
      <c r="D142" s="66"/>
      <c r="E142" s="67" t="str">
        <f t="shared" si="95"/>
        <v/>
      </c>
      <c r="F142" s="356"/>
      <c r="G142" s="345" t="str">
        <f t="shared" si="97"/>
        <v/>
      </c>
      <c r="H142" s="345" t="str">
        <f t="shared" si="91"/>
        <v/>
      </c>
      <c r="I142" s="345" t="str">
        <f t="shared" si="94"/>
        <v/>
      </c>
      <c r="J142" s="357"/>
      <c r="K142" s="356"/>
      <c r="L142" s="359" t="str">
        <f t="shared" si="98"/>
        <v/>
      </c>
      <c r="M142" s="360"/>
      <c r="N142" s="349" t="str">
        <f t="shared" si="96"/>
        <v/>
      </c>
      <c r="O142" s="308"/>
      <c r="P142" s="308"/>
      <c r="Q142" s="308"/>
      <c r="R142" s="308"/>
      <c r="S142" s="308"/>
      <c r="T142" s="308"/>
      <c r="U142" s="308"/>
      <c r="V142" s="308"/>
      <c r="W142" s="308"/>
      <c r="X142" s="308"/>
      <c r="Y142" s="200" t="str">
        <f t="shared" si="89"/>
        <v/>
      </c>
      <c r="Z142" s="320" t="str">
        <f t="shared" si="92"/>
        <v/>
      </c>
      <c r="AA142" s="33" t="str">
        <f t="shared" si="93"/>
        <v/>
      </c>
      <c r="AB142" s="99" t="str">
        <f t="shared" si="90"/>
        <v/>
      </c>
      <c r="AC142" s="121"/>
      <c r="AD142" s="42"/>
      <c r="AE142" s="163"/>
      <c r="AF142" s="48"/>
      <c r="AH142" s="5"/>
    </row>
    <row r="143" spans="2:34" ht="15" customHeight="1">
      <c r="B143" s="308"/>
      <c r="C143" s="308"/>
      <c r="D143" s="308"/>
      <c r="E143" s="308"/>
      <c r="F143" s="308"/>
      <c r="G143" s="308"/>
      <c r="H143" s="308"/>
      <c r="I143" s="308"/>
      <c r="J143" s="308"/>
      <c r="K143" s="308"/>
      <c r="L143" s="308"/>
      <c r="M143" s="308"/>
      <c r="N143" s="308"/>
      <c r="O143" s="308"/>
      <c r="P143" s="308"/>
      <c r="Q143" s="308"/>
      <c r="R143" s="308"/>
      <c r="S143" s="308"/>
      <c r="T143" s="308"/>
      <c r="U143" s="308"/>
      <c r="V143" s="308"/>
      <c r="W143" s="308"/>
      <c r="X143" s="308"/>
      <c r="Y143" s="200" t="str">
        <f t="shared" si="89"/>
        <v/>
      </c>
      <c r="Z143" s="320" t="str">
        <f t="shared" si="92"/>
        <v/>
      </c>
      <c r="AA143" s="33" t="str">
        <f t="shared" si="93"/>
        <v/>
      </c>
      <c r="AB143" s="99" t="str">
        <f t="shared" si="90"/>
        <v/>
      </c>
      <c r="AC143" s="121"/>
      <c r="AD143" s="42"/>
      <c r="AE143" s="163"/>
      <c r="AF143" s="48"/>
      <c r="AH143" s="5"/>
    </row>
    <row r="144" spans="2:34" ht="15" customHeight="1">
      <c r="B144" s="545" t="s">
        <v>31</v>
      </c>
      <c r="C144" s="546"/>
      <c r="D144" s="547"/>
      <c r="E144" s="551">
        <f>SUM(E146:E177)</f>
        <v>0</v>
      </c>
      <c r="F144" s="552"/>
      <c r="G144" s="322"/>
      <c r="H144" s="220"/>
      <c r="I144" s="342" t="str">
        <f t="shared" si="88"/>
        <v/>
      </c>
      <c r="J144" s="699">
        <f>SUM(N146:N177)</f>
        <v>448.5</v>
      </c>
      <c r="K144" s="699"/>
      <c r="L144" s="700"/>
      <c r="M144" s="559">
        <f>SUM(E144,J144)</f>
        <v>448.5</v>
      </c>
      <c r="N144" s="560"/>
      <c r="O144" s="308"/>
      <c r="P144" s="308"/>
      <c r="Q144" s="308"/>
      <c r="R144" s="308"/>
      <c r="S144" s="308"/>
      <c r="T144" s="308"/>
      <c r="U144" s="308"/>
      <c r="V144" s="308"/>
      <c r="W144" s="308"/>
      <c r="X144" s="308"/>
      <c r="Y144" s="200" t="str">
        <f t="shared" si="89"/>
        <v/>
      </c>
      <c r="Z144" s="320" t="str">
        <f t="shared" si="92"/>
        <v/>
      </c>
      <c r="AA144" s="33" t="str">
        <f t="shared" si="93"/>
        <v/>
      </c>
      <c r="AB144" s="99" t="str">
        <f t="shared" si="90"/>
        <v/>
      </c>
      <c r="AC144" s="121"/>
      <c r="AD144" s="42"/>
      <c r="AE144" s="163"/>
      <c r="AF144" s="48"/>
      <c r="AH144" s="5"/>
    </row>
    <row r="145" spans="2:34" ht="15" customHeight="1">
      <c r="B145" s="548"/>
      <c r="C145" s="549"/>
      <c r="D145" s="550"/>
      <c r="E145" s="553"/>
      <c r="F145" s="554"/>
      <c r="G145" s="323"/>
      <c r="H145" s="222"/>
      <c r="I145" s="346" t="str">
        <f t="shared" si="88"/>
        <v/>
      </c>
      <c r="J145" s="701"/>
      <c r="K145" s="701"/>
      <c r="L145" s="702"/>
      <c r="M145" s="561"/>
      <c r="N145" s="562"/>
      <c r="O145" s="308"/>
      <c r="P145" s="308"/>
      <c r="Q145" s="308"/>
      <c r="R145" s="308"/>
      <c r="S145" s="308"/>
      <c r="T145" s="308"/>
      <c r="U145" s="308"/>
      <c r="V145" s="308"/>
      <c r="W145" s="308"/>
      <c r="X145" s="308"/>
      <c r="Y145" s="200" t="str">
        <f t="shared" si="89"/>
        <v/>
      </c>
      <c r="Z145" s="320" t="str">
        <f t="shared" si="92"/>
        <v/>
      </c>
      <c r="AA145" s="33" t="str">
        <f t="shared" si="93"/>
        <v/>
      </c>
      <c r="AB145" s="99" t="str">
        <f t="shared" si="90"/>
        <v/>
      </c>
      <c r="AC145" s="121"/>
      <c r="AD145" s="42"/>
      <c r="AE145" s="163"/>
      <c r="AF145" s="48"/>
      <c r="AH145" s="5"/>
    </row>
    <row r="146" spans="2:34" ht="15" customHeight="1">
      <c r="B146" s="337">
        <v>60</v>
      </c>
      <c r="C146" s="191">
        <v>46291</v>
      </c>
      <c r="D146" s="74" t="s">
        <v>394</v>
      </c>
      <c r="E146" s="58" t="str">
        <f>IF(OR(B146="",F146="Pago"),"",B146)</f>
        <v/>
      </c>
      <c r="F146" s="351" t="s">
        <v>2</v>
      </c>
      <c r="G146" s="343">
        <f t="shared" ref="G146:G149" si="99">IF(B146="","",B146+C146)</f>
        <v>46351</v>
      </c>
      <c r="H146" s="344">
        <f t="shared" ref="H146:H177" si="100">IFERROR(VLOOKUP(G146,$Z$5:$Z$174,1,0),"")</f>
        <v>46351</v>
      </c>
      <c r="I146" s="343" t="str">
        <f>IF(OR(G146&lt;&gt;"",H146&lt;&gt;""),"FEIRA","")</f>
        <v>FEIRA</v>
      </c>
      <c r="J146" s="383" t="s">
        <v>94</v>
      </c>
      <c r="K146" s="385" t="s">
        <v>90</v>
      </c>
      <c r="L146" s="384" t="str">
        <f t="shared" ref="L146:L173" si="101">IF(K146="AV","8",IF(AND(G146="",H146=""),"",IF(G146=H146,"P",IF(G146&lt;&gt;H146,"O"))))</f>
        <v>P</v>
      </c>
      <c r="M146" s="354"/>
      <c r="N146" s="347">
        <f>IF(F146="Pago",B146,"")</f>
        <v>60</v>
      </c>
      <c r="O146" s="308"/>
      <c r="P146" s="308"/>
      <c r="Q146" s="308"/>
      <c r="R146" s="308"/>
      <c r="S146" s="308"/>
      <c r="T146" s="308"/>
      <c r="U146" s="308"/>
      <c r="V146" s="308"/>
      <c r="W146" s="308"/>
      <c r="X146" s="308"/>
      <c r="Y146" s="200" t="str">
        <f t="shared" si="89"/>
        <v/>
      </c>
      <c r="Z146" s="320" t="str">
        <f t="shared" si="92"/>
        <v/>
      </c>
      <c r="AA146" s="33" t="str">
        <f t="shared" si="93"/>
        <v/>
      </c>
      <c r="AB146" s="99" t="str">
        <f t="shared" si="90"/>
        <v/>
      </c>
      <c r="AC146" s="121"/>
      <c r="AD146" s="42"/>
      <c r="AE146" s="163"/>
      <c r="AF146" s="48"/>
      <c r="AH146" s="5"/>
    </row>
    <row r="147" spans="2:34" ht="15" customHeight="1">
      <c r="B147" s="337">
        <v>5</v>
      </c>
      <c r="C147" s="191">
        <v>46291</v>
      </c>
      <c r="D147" s="74" t="s">
        <v>394</v>
      </c>
      <c r="E147" s="58" t="str">
        <f>IF(OR(B147="",F147="Pago"),"",B147)</f>
        <v/>
      </c>
      <c r="F147" s="351" t="s">
        <v>2</v>
      </c>
      <c r="G147" s="343">
        <f t="shared" si="99"/>
        <v>46296</v>
      </c>
      <c r="H147" s="344">
        <f t="shared" si="100"/>
        <v>46296</v>
      </c>
      <c r="I147" s="343" t="str">
        <f t="shared" ref="I147:I177" si="102">IF(OR(G147&lt;&gt;"",H147&lt;&gt;""),"FEIRA","")</f>
        <v>FEIRA</v>
      </c>
      <c r="J147" s="383" t="s">
        <v>94</v>
      </c>
      <c r="K147" s="351" t="s">
        <v>90</v>
      </c>
      <c r="L147" s="384" t="str">
        <f t="shared" si="101"/>
        <v>P</v>
      </c>
      <c r="M147" s="354"/>
      <c r="N147" s="348">
        <f>IF(F147="Pago",B147,"")</f>
        <v>5</v>
      </c>
      <c r="O147" s="308"/>
      <c r="P147" s="308"/>
      <c r="Q147" s="308"/>
      <c r="R147" s="308"/>
      <c r="S147" s="308"/>
      <c r="T147" s="308"/>
      <c r="U147" s="308"/>
      <c r="V147" s="308"/>
      <c r="W147" s="308"/>
      <c r="X147" s="308"/>
      <c r="Y147" s="200" t="str">
        <f t="shared" si="89"/>
        <v/>
      </c>
      <c r="Z147" s="320" t="str">
        <f t="shared" si="92"/>
        <v/>
      </c>
      <c r="AA147" s="33" t="str">
        <f t="shared" si="93"/>
        <v/>
      </c>
      <c r="AB147" s="99" t="str">
        <f t="shared" si="90"/>
        <v/>
      </c>
      <c r="AC147" s="121"/>
      <c r="AD147" s="42"/>
      <c r="AE147" s="163"/>
      <c r="AF147" s="48"/>
      <c r="AH147" s="5"/>
    </row>
    <row r="148" spans="2:34" ht="15" customHeight="1">
      <c r="B148" s="337">
        <v>22</v>
      </c>
      <c r="C148" s="191">
        <v>46291</v>
      </c>
      <c r="D148" s="74" t="s">
        <v>394</v>
      </c>
      <c r="E148" s="58" t="str">
        <f t="shared" ref="E148:E173" si="103">IF(OR(B148="",F148="Pago"),"",B148)</f>
        <v/>
      </c>
      <c r="F148" s="351" t="s">
        <v>2</v>
      </c>
      <c r="G148" s="343">
        <f t="shared" si="99"/>
        <v>46313</v>
      </c>
      <c r="H148" s="344">
        <f t="shared" si="100"/>
        <v>46313</v>
      </c>
      <c r="I148" s="343" t="str">
        <f t="shared" si="102"/>
        <v>FEIRA</v>
      </c>
      <c r="J148" s="383" t="s">
        <v>94</v>
      </c>
      <c r="K148" s="351" t="s">
        <v>90</v>
      </c>
      <c r="L148" s="384" t="str">
        <f t="shared" si="101"/>
        <v>P</v>
      </c>
      <c r="M148" s="354"/>
      <c r="N148" s="348">
        <f t="shared" ref="N148:N173" si="104">IF(F148="Pago",B148,"")</f>
        <v>22</v>
      </c>
      <c r="O148" s="308"/>
      <c r="P148" s="308"/>
      <c r="Q148" s="308"/>
      <c r="R148" s="308"/>
      <c r="S148" s="308"/>
      <c r="T148" s="308"/>
      <c r="U148" s="308"/>
      <c r="V148" s="308"/>
      <c r="W148" s="308"/>
      <c r="X148" s="308"/>
      <c r="Y148" s="200" t="str">
        <f t="shared" si="89"/>
        <v/>
      </c>
      <c r="Z148" s="320" t="str">
        <f t="shared" si="92"/>
        <v/>
      </c>
      <c r="AA148" s="33" t="str">
        <f t="shared" si="93"/>
        <v/>
      </c>
      <c r="AB148" s="99" t="str">
        <f t="shared" si="90"/>
        <v/>
      </c>
      <c r="AC148" s="121"/>
      <c r="AD148" s="42"/>
      <c r="AE148" s="163"/>
      <c r="AF148" s="48"/>
      <c r="AH148" s="5"/>
    </row>
    <row r="149" spans="2:34" ht="15" customHeight="1">
      <c r="B149" s="337">
        <v>18</v>
      </c>
      <c r="C149" s="191">
        <v>46291</v>
      </c>
      <c r="D149" s="74" t="s">
        <v>394</v>
      </c>
      <c r="E149" s="58" t="str">
        <f t="shared" si="103"/>
        <v/>
      </c>
      <c r="F149" s="351" t="s">
        <v>2</v>
      </c>
      <c r="G149" s="343">
        <f t="shared" si="99"/>
        <v>46309</v>
      </c>
      <c r="H149" s="344">
        <f t="shared" si="100"/>
        <v>46309</v>
      </c>
      <c r="I149" s="343" t="str">
        <f t="shared" si="102"/>
        <v>FEIRA</v>
      </c>
      <c r="J149" s="383" t="s">
        <v>94</v>
      </c>
      <c r="K149" s="351" t="s">
        <v>90</v>
      </c>
      <c r="L149" s="384" t="str">
        <f t="shared" si="101"/>
        <v>P</v>
      </c>
      <c r="M149" s="354"/>
      <c r="N149" s="348">
        <f t="shared" si="104"/>
        <v>18</v>
      </c>
      <c r="O149" s="308"/>
      <c r="P149" s="308"/>
      <c r="Q149" s="308"/>
      <c r="R149" s="308"/>
      <c r="S149" s="308"/>
      <c r="T149" s="308"/>
      <c r="U149" s="308"/>
      <c r="V149" s="308"/>
      <c r="W149" s="308"/>
      <c r="X149" s="308"/>
      <c r="Y149" s="200">
        <f t="shared" si="89"/>
        <v>46299.15</v>
      </c>
      <c r="Z149" s="320">
        <f t="shared" si="92"/>
        <v>46299.15</v>
      </c>
      <c r="AA149" s="33" t="str">
        <f t="shared" si="93"/>
        <v>P</v>
      </c>
      <c r="AB149" s="99" t="str">
        <f t="shared" si="90"/>
        <v>PRUDENTIAL</v>
      </c>
      <c r="AC149" s="218">
        <v>46287</v>
      </c>
      <c r="AD149" s="217" t="s">
        <v>70</v>
      </c>
      <c r="AE149" s="219">
        <v>12.15</v>
      </c>
      <c r="AF149" s="48"/>
      <c r="AH149" s="5"/>
    </row>
    <row r="150" spans="2:34" ht="15" customHeight="1">
      <c r="B150" s="337">
        <v>5</v>
      </c>
      <c r="C150" s="191">
        <v>46291</v>
      </c>
      <c r="D150" s="74" t="s">
        <v>394</v>
      </c>
      <c r="E150" s="58" t="str">
        <f t="shared" si="103"/>
        <v/>
      </c>
      <c r="F150" s="351" t="s">
        <v>2</v>
      </c>
      <c r="G150" s="343">
        <f t="shared" ref="G150:G177" si="105">IF(B150="","",B150+C150)</f>
        <v>46296</v>
      </c>
      <c r="H150" s="344">
        <f t="shared" si="100"/>
        <v>46296</v>
      </c>
      <c r="I150" s="343" t="str">
        <f t="shared" si="102"/>
        <v>FEIRA</v>
      </c>
      <c r="J150" s="383" t="s">
        <v>94</v>
      </c>
      <c r="K150" s="351" t="s">
        <v>90</v>
      </c>
      <c r="L150" s="384" t="str">
        <f t="shared" si="101"/>
        <v>P</v>
      </c>
      <c r="M150" s="354"/>
      <c r="N150" s="348">
        <f t="shared" si="104"/>
        <v>5</v>
      </c>
      <c r="O150" s="308"/>
      <c r="P150" s="308"/>
      <c r="Q150" s="308"/>
      <c r="R150" s="308"/>
      <c r="S150" s="308"/>
      <c r="T150" s="308"/>
      <c r="U150" s="308"/>
      <c r="V150" s="308"/>
      <c r="W150" s="308"/>
      <c r="X150" s="308"/>
      <c r="Y150" s="200">
        <f t="shared" si="89"/>
        <v>46535.91</v>
      </c>
      <c r="Z150" s="320">
        <f t="shared" si="92"/>
        <v>46535.91</v>
      </c>
      <c r="AA150" s="33" t="str">
        <f t="shared" si="93"/>
        <v>P</v>
      </c>
      <c r="AB150" s="99" t="str">
        <f t="shared" si="90"/>
        <v>PRUDENTIAL</v>
      </c>
      <c r="AC150" s="218">
        <v>46287</v>
      </c>
      <c r="AD150" s="217" t="s">
        <v>71</v>
      </c>
      <c r="AE150" s="219">
        <v>248.91</v>
      </c>
      <c r="AF150" s="48"/>
      <c r="AH150" s="5"/>
    </row>
    <row r="151" spans="2:34" ht="15" customHeight="1">
      <c r="B151" s="337">
        <v>10</v>
      </c>
      <c r="C151" s="191">
        <v>46305</v>
      </c>
      <c r="D151" s="74" t="s">
        <v>393</v>
      </c>
      <c r="E151" s="58" t="str">
        <f t="shared" si="103"/>
        <v/>
      </c>
      <c r="F151" s="351" t="s">
        <v>2</v>
      </c>
      <c r="G151" s="343">
        <f t="shared" si="105"/>
        <v>46315</v>
      </c>
      <c r="H151" s="344" t="str">
        <f t="shared" si="100"/>
        <v/>
      </c>
      <c r="I151" s="343" t="str">
        <f t="shared" si="102"/>
        <v>FEIRA</v>
      </c>
      <c r="J151" s="383" t="s">
        <v>94</v>
      </c>
      <c r="K151" s="351" t="s">
        <v>118</v>
      </c>
      <c r="L151" s="384" t="str">
        <f t="shared" si="101"/>
        <v>8</v>
      </c>
      <c r="M151" s="354"/>
      <c r="N151" s="348">
        <f t="shared" si="104"/>
        <v>10</v>
      </c>
      <c r="O151" s="308"/>
      <c r="P151" s="308"/>
      <c r="Q151" s="308"/>
      <c r="R151" s="308"/>
      <c r="S151" s="308"/>
      <c r="T151" s="308"/>
      <c r="U151" s="308"/>
      <c r="V151" s="308"/>
      <c r="W151" s="308"/>
      <c r="X151" s="308"/>
      <c r="Y151" s="201">
        <f t="shared" si="89"/>
        <v>46608.1</v>
      </c>
      <c r="Z151" s="321">
        <f t="shared" si="92"/>
        <v>46608.1</v>
      </c>
      <c r="AA151" s="115" t="str">
        <f t="shared" si="93"/>
        <v>P</v>
      </c>
      <c r="AB151" s="99" t="str">
        <f t="shared" si="90"/>
        <v>PRUDENTIAL</v>
      </c>
      <c r="AC151" s="218">
        <v>46287</v>
      </c>
      <c r="AD151" s="217" t="s">
        <v>119</v>
      </c>
      <c r="AE151" s="219">
        <v>321.10000000000002</v>
      </c>
      <c r="AF151" s="48"/>
      <c r="AH151" s="5"/>
    </row>
    <row r="152" spans="2:34" ht="15" customHeight="1">
      <c r="B152" s="337">
        <v>5</v>
      </c>
      <c r="C152" s="191">
        <v>46305</v>
      </c>
      <c r="D152" s="74" t="s">
        <v>393</v>
      </c>
      <c r="E152" s="58" t="str">
        <f t="shared" si="103"/>
        <v/>
      </c>
      <c r="F152" s="351" t="s">
        <v>2</v>
      </c>
      <c r="G152" s="343">
        <f t="shared" si="105"/>
        <v>46310</v>
      </c>
      <c r="H152" s="344" t="str">
        <f t="shared" si="100"/>
        <v/>
      </c>
      <c r="I152" s="343" t="str">
        <f t="shared" si="102"/>
        <v>FEIRA</v>
      </c>
      <c r="J152" s="383" t="s">
        <v>94</v>
      </c>
      <c r="K152" s="351" t="s">
        <v>118</v>
      </c>
      <c r="L152" s="384" t="str">
        <f t="shared" si="101"/>
        <v>8</v>
      </c>
      <c r="M152" s="354"/>
      <c r="N152" s="348">
        <f t="shared" si="104"/>
        <v>5</v>
      </c>
      <c r="O152" s="308"/>
      <c r="P152" s="308"/>
      <c r="Q152" s="308"/>
      <c r="R152" s="308"/>
      <c r="S152" s="308"/>
      <c r="T152" s="308"/>
      <c r="U152" s="308"/>
      <c r="V152" s="308"/>
      <c r="W152" s="308"/>
      <c r="X152" s="308"/>
      <c r="Y152" s="308"/>
      <c r="Z152" s="308"/>
      <c r="AA152" s="308"/>
      <c r="AB152" s="339"/>
      <c r="AC152" s="565">
        <f>SUM(AE132:AE151)</f>
        <v>582.16000000000008</v>
      </c>
      <c r="AD152" s="566"/>
      <c r="AE152" s="567"/>
      <c r="AH152" s="5"/>
    </row>
    <row r="153" spans="2:34" ht="15" customHeight="1">
      <c r="B153" s="337">
        <v>18</v>
      </c>
      <c r="C153" s="191">
        <v>46305</v>
      </c>
      <c r="D153" s="74" t="s">
        <v>393</v>
      </c>
      <c r="E153" s="58" t="str">
        <f t="shared" si="103"/>
        <v/>
      </c>
      <c r="F153" s="351" t="s">
        <v>2</v>
      </c>
      <c r="G153" s="343">
        <f t="shared" si="105"/>
        <v>46323</v>
      </c>
      <c r="H153" s="344" t="str">
        <f t="shared" si="100"/>
        <v/>
      </c>
      <c r="I153" s="343" t="str">
        <f t="shared" si="102"/>
        <v>FEIRA</v>
      </c>
      <c r="J153" s="383" t="s">
        <v>94</v>
      </c>
      <c r="K153" s="351" t="s">
        <v>118</v>
      </c>
      <c r="L153" s="384" t="str">
        <f t="shared" si="101"/>
        <v>8</v>
      </c>
      <c r="M153" s="354"/>
      <c r="N153" s="348">
        <f t="shared" si="104"/>
        <v>18</v>
      </c>
      <c r="O153" s="308"/>
      <c r="P153" s="308"/>
      <c r="Q153" s="308"/>
      <c r="R153" s="308"/>
      <c r="S153" s="308"/>
      <c r="T153" s="308"/>
      <c r="U153" s="308"/>
      <c r="V153" s="308"/>
      <c r="W153" s="308"/>
      <c r="X153" s="308"/>
      <c r="Y153" s="308"/>
      <c r="Z153" s="308"/>
      <c r="AA153" s="308"/>
      <c r="AB153" s="340"/>
      <c r="AC153" s="565"/>
      <c r="AD153" s="566"/>
      <c r="AE153" s="567"/>
      <c r="AH153" s="5"/>
    </row>
    <row r="154" spans="2:34" ht="15" customHeight="1">
      <c r="B154" s="337">
        <v>100</v>
      </c>
      <c r="C154" s="191">
        <v>46305</v>
      </c>
      <c r="D154" s="74" t="s">
        <v>393</v>
      </c>
      <c r="E154" s="58" t="str">
        <f t="shared" si="103"/>
        <v/>
      </c>
      <c r="F154" s="351" t="s">
        <v>2</v>
      </c>
      <c r="G154" s="343">
        <f t="shared" si="105"/>
        <v>46405</v>
      </c>
      <c r="H154" s="344" t="str">
        <f t="shared" si="100"/>
        <v/>
      </c>
      <c r="I154" s="343" t="str">
        <f t="shared" si="102"/>
        <v>FEIRA</v>
      </c>
      <c r="J154" s="383" t="s">
        <v>94</v>
      </c>
      <c r="K154" s="351" t="s">
        <v>118</v>
      </c>
      <c r="L154" s="384" t="str">
        <f t="shared" si="101"/>
        <v>8</v>
      </c>
      <c r="M154" s="354"/>
      <c r="N154" s="348">
        <f t="shared" si="104"/>
        <v>100</v>
      </c>
      <c r="O154" s="308"/>
      <c r="P154" s="308"/>
      <c r="Q154" s="308"/>
      <c r="R154" s="308"/>
      <c r="S154" s="308"/>
      <c r="T154" s="308"/>
      <c r="U154" s="308"/>
      <c r="V154" s="308"/>
      <c r="W154" s="308"/>
      <c r="X154" s="308"/>
      <c r="Y154" s="199" t="str">
        <f t="shared" ref="Y154:Y173" si="106">IFERROR(VLOOKUP(Z154,$G$12:$G$243,1,0),"")</f>
        <v/>
      </c>
      <c r="Z154" s="319" t="str">
        <f t="shared" si="92"/>
        <v/>
      </c>
      <c r="AA154" s="114" t="str">
        <f t="shared" si="93"/>
        <v/>
      </c>
      <c r="AB154" s="99" t="str">
        <f t="shared" ref="AB154:AB173" si="107">IF(Z154="","",IFERROR(VLOOKUP(Z154,$H$12:$I$243,2,0),""))</f>
        <v/>
      </c>
      <c r="AC154" s="118"/>
      <c r="AD154" s="109"/>
      <c r="AE154" s="106"/>
      <c r="AF154" s="568" t="s">
        <v>8</v>
      </c>
      <c r="AH154" s="5"/>
    </row>
    <row r="155" spans="2:34" ht="15" customHeight="1">
      <c r="B155" s="337">
        <v>83</v>
      </c>
      <c r="C155" s="191">
        <v>46312</v>
      </c>
      <c r="D155" s="74" t="s">
        <v>419</v>
      </c>
      <c r="E155" s="58" t="str">
        <f t="shared" si="103"/>
        <v/>
      </c>
      <c r="F155" s="351" t="s">
        <v>2</v>
      </c>
      <c r="G155" s="343">
        <f t="shared" si="105"/>
        <v>46395</v>
      </c>
      <c r="H155" s="344" t="str">
        <f t="shared" si="100"/>
        <v/>
      </c>
      <c r="I155" s="343" t="str">
        <f t="shared" si="102"/>
        <v>FEIRA</v>
      </c>
      <c r="J155" s="383" t="s">
        <v>94</v>
      </c>
      <c r="K155" s="351" t="s">
        <v>118</v>
      </c>
      <c r="L155" s="384" t="str">
        <f t="shared" si="101"/>
        <v>8</v>
      </c>
      <c r="M155" s="354"/>
      <c r="N155" s="348">
        <f t="shared" si="104"/>
        <v>83</v>
      </c>
      <c r="O155" s="308"/>
      <c r="P155" s="308"/>
      <c r="Q155" s="308"/>
      <c r="R155" s="308"/>
      <c r="S155" s="308"/>
      <c r="T155" s="308"/>
      <c r="U155" s="308"/>
      <c r="V155" s="308"/>
      <c r="W155" s="308"/>
      <c r="X155" s="308"/>
      <c r="Y155" s="200" t="str">
        <f t="shared" si="106"/>
        <v/>
      </c>
      <c r="Z155" s="320" t="str">
        <f t="shared" si="92"/>
        <v/>
      </c>
      <c r="AA155" s="33" t="str">
        <f t="shared" si="93"/>
        <v/>
      </c>
      <c r="AB155" s="99" t="str">
        <f t="shared" si="107"/>
        <v/>
      </c>
      <c r="AC155" s="118"/>
      <c r="AD155" s="109"/>
      <c r="AE155" s="106"/>
      <c r="AF155" s="569"/>
      <c r="AH155" s="5"/>
    </row>
    <row r="156" spans="2:34" ht="15" customHeight="1">
      <c r="B156" s="337">
        <v>18</v>
      </c>
      <c r="C156" s="191">
        <v>46312</v>
      </c>
      <c r="D156" s="74" t="s">
        <v>419</v>
      </c>
      <c r="E156" s="58" t="str">
        <f t="shared" si="103"/>
        <v/>
      </c>
      <c r="F156" s="351" t="s">
        <v>2</v>
      </c>
      <c r="G156" s="343">
        <f t="shared" si="105"/>
        <v>46330</v>
      </c>
      <c r="H156" s="344" t="str">
        <f t="shared" si="100"/>
        <v/>
      </c>
      <c r="I156" s="343" t="str">
        <f t="shared" si="102"/>
        <v>FEIRA</v>
      </c>
      <c r="J156" s="383" t="s">
        <v>94</v>
      </c>
      <c r="K156" s="351" t="s">
        <v>118</v>
      </c>
      <c r="L156" s="384" t="str">
        <f t="shared" si="101"/>
        <v>8</v>
      </c>
      <c r="M156" s="354"/>
      <c r="N156" s="348">
        <f t="shared" si="104"/>
        <v>18</v>
      </c>
      <c r="O156" s="308"/>
      <c r="P156" s="308"/>
      <c r="Q156" s="308"/>
      <c r="R156" s="308"/>
      <c r="S156" s="308"/>
      <c r="T156" s="308"/>
      <c r="U156" s="308"/>
      <c r="V156" s="308"/>
      <c r="W156" s="308"/>
      <c r="X156" s="308"/>
      <c r="Y156" s="200" t="str">
        <f t="shared" si="106"/>
        <v/>
      </c>
      <c r="Z156" s="320" t="str">
        <f t="shared" si="92"/>
        <v/>
      </c>
      <c r="AA156" s="33" t="str">
        <f t="shared" si="93"/>
        <v/>
      </c>
      <c r="AB156" s="99" t="str">
        <f t="shared" si="107"/>
        <v/>
      </c>
      <c r="AC156" s="118"/>
      <c r="AD156" s="109"/>
      <c r="AE156" s="106"/>
      <c r="AF156" s="569"/>
      <c r="AH156" s="5"/>
    </row>
    <row r="157" spans="2:34" ht="15" customHeight="1">
      <c r="B157" s="337">
        <v>4</v>
      </c>
      <c r="C157" s="191">
        <v>46312</v>
      </c>
      <c r="D157" s="74" t="s">
        <v>419</v>
      </c>
      <c r="E157" s="58" t="str">
        <f t="shared" si="103"/>
        <v/>
      </c>
      <c r="F157" s="351" t="s">
        <v>2</v>
      </c>
      <c r="G157" s="343">
        <f t="shared" si="105"/>
        <v>46316</v>
      </c>
      <c r="H157" s="344" t="str">
        <f t="shared" si="100"/>
        <v/>
      </c>
      <c r="I157" s="343" t="str">
        <f t="shared" si="102"/>
        <v>FEIRA</v>
      </c>
      <c r="J157" s="383" t="s">
        <v>94</v>
      </c>
      <c r="K157" s="351" t="s">
        <v>118</v>
      </c>
      <c r="L157" s="384" t="str">
        <f t="shared" si="101"/>
        <v>8</v>
      </c>
      <c r="M157" s="354"/>
      <c r="N157" s="348">
        <f t="shared" si="104"/>
        <v>4</v>
      </c>
      <c r="O157" s="308"/>
      <c r="P157" s="308"/>
      <c r="Q157" s="308"/>
      <c r="R157" s="308"/>
      <c r="S157" s="308"/>
      <c r="T157" s="308"/>
      <c r="U157" s="308"/>
      <c r="V157" s="308"/>
      <c r="W157" s="308"/>
      <c r="X157" s="308"/>
      <c r="Y157" s="200" t="str">
        <f t="shared" si="106"/>
        <v/>
      </c>
      <c r="Z157" s="320" t="str">
        <f t="shared" si="92"/>
        <v/>
      </c>
      <c r="AA157" s="33" t="str">
        <f t="shared" si="93"/>
        <v/>
      </c>
      <c r="AB157" s="99" t="str">
        <f t="shared" si="107"/>
        <v/>
      </c>
      <c r="AC157" s="118"/>
      <c r="AD157" s="109"/>
      <c r="AE157" s="106"/>
      <c r="AF157" s="48"/>
      <c r="AH157" s="5"/>
    </row>
    <row r="158" spans="2:34" ht="15" customHeight="1">
      <c r="B158" s="337">
        <v>17.5</v>
      </c>
      <c r="C158" s="191">
        <v>46312</v>
      </c>
      <c r="D158" s="74" t="s">
        <v>419</v>
      </c>
      <c r="E158" s="58" t="str">
        <f t="shared" si="103"/>
        <v/>
      </c>
      <c r="F158" s="351" t="s">
        <v>2</v>
      </c>
      <c r="G158" s="343">
        <f t="shared" si="105"/>
        <v>46329.5</v>
      </c>
      <c r="H158" s="344" t="str">
        <f t="shared" si="100"/>
        <v/>
      </c>
      <c r="I158" s="343" t="str">
        <f t="shared" si="102"/>
        <v>FEIRA</v>
      </c>
      <c r="J158" s="383" t="s">
        <v>94</v>
      </c>
      <c r="K158" s="351" t="s">
        <v>118</v>
      </c>
      <c r="L158" s="384" t="str">
        <f t="shared" si="101"/>
        <v>8</v>
      </c>
      <c r="M158" s="354"/>
      <c r="N158" s="348">
        <f t="shared" si="104"/>
        <v>17.5</v>
      </c>
      <c r="O158" s="308"/>
      <c r="P158" s="308"/>
      <c r="Q158" s="308"/>
      <c r="R158" s="308"/>
      <c r="S158" s="308"/>
      <c r="T158" s="308"/>
      <c r="U158" s="308"/>
      <c r="V158" s="308"/>
      <c r="W158" s="308"/>
      <c r="X158" s="308"/>
      <c r="Y158" s="200" t="str">
        <f t="shared" si="106"/>
        <v/>
      </c>
      <c r="Z158" s="320" t="str">
        <f t="shared" si="92"/>
        <v/>
      </c>
      <c r="AA158" s="33" t="str">
        <f t="shared" si="93"/>
        <v/>
      </c>
      <c r="AB158" s="99" t="str">
        <f t="shared" si="107"/>
        <v/>
      </c>
      <c r="AC158" s="118"/>
      <c r="AD158" s="109"/>
      <c r="AE158" s="106"/>
      <c r="AF158" s="48"/>
      <c r="AH158" s="5"/>
    </row>
    <row r="159" spans="2:34" ht="15" customHeight="1">
      <c r="B159" s="337">
        <v>83</v>
      </c>
      <c r="C159" s="191">
        <v>46319</v>
      </c>
      <c r="D159" s="74" t="s">
        <v>467</v>
      </c>
      <c r="E159" s="58" t="str">
        <f t="shared" si="103"/>
        <v/>
      </c>
      <c r="F159" s="351" t="s">
        <v>2</v>
      </c>
      <c r="G159" s="343">
        <f t="shared" si="105"/>
        <v>46402</v>
      </c>
      <c r="H159" s="344" t="str">
        <f t="shared" si="100"/>
        <v/>
      </c>
      <c r="I159" s="343" t="str">
        <f t="shared" si="102"/>
        <v>FEIRA</v>
      </c>
      <c r="J159" s="383" t="s">
        <v>94</v>
      </c>
      <c r="K159" s="351" t="s">
        <v>118</v>
      </c>
      <c r="L159" s="384" t="str">
        <f t="shared" si="101"/>
        <v>8</v>
      </c>
      <c r="M159" s="354"/>
      <c r="N159" s="348">
        <f t="shared" si="104"/>
        <v>83</v>
      </c>
      <c r="O159" s="308"/>
      <c r="P159" s="308"/>
      <c r="Q159" s="308"/>
      <c r="R159" s="308"/>
      <c r="S159" s="308"/>
      <c r="T159" s="308"/>
      <c r="U159" s="308"/>
      <c r="V159" s="308"/>
      <c r="W159" s="308"/>
      <c r="X159" s="308"/>
      <c r="Y159" s="200" t="str">
        <f t="shared" si="106"/>
        <v/>
      </c>
      <c r="Z159" s="320" t="str">
        <f t="shared" si="92"/>
        <v/>
      </c>
      <c r="AA159" s="33" t="str">
        <f t="shared" si="93"/>
        <v/>
      </c>
      <c r="AB159" s="99" t="str">
        <f t="shared" si="107"/>
        <v/>
      </c>
      <c r="AC159" s="118"/>
      <c r="AD159" s="109"/>
      <c r="AE159" s="106"/>
      <c r="AF159" s="48"/>
      <c r="AH159" s="5"/>
    </row>
    <row r="160" spans="2:34" ht="15" customHeight="1">
      <c r="B160" s="337"/>
      <c r="C160" s="191"/>
      <c r="D160" s="74"/>
      <c r="E160" s="58" t="str">
        <f t="shared" si="103"/>
        <v/>
      </c>
      <c r="F160" s="351"/>
      <c r="G160" s="343" t="str">
        <f t="shared" si="105"/>
        <v/>
      </c>
      <c r="H160" s="344" t="str">
        <f t="shared" si="100"/>
        <v/>
      </c>
      <c r="I160" s="343" t="str">
        <f t="shared" si="102"/>
        <v/>
      </c>
      <c r="J160" s="383"/>
      <c r="K160" s="351"/>
      <c r="L160" s="384" t="str">
        <f t="shared" si="101"/>
        <v/>
      </c>
      <c r="M160" s="354"/>
      <c r="N160" s="348" t="str">
        <f t="shared" si="104"/>
        <v/>
      </c>
      <c r="O160" s="308"/>
      <c r="P160" s="308"/>
      <c r="Q160" s="308"/>
      <c r="R160" s="308"/>
      <c r="S160" s="308"/>
      <c r="T160" s="308"/>
      <c r="U160" s="308"/>
      <c r="V160" s="308"/>
      <c r="W160" s="308"/>
      <c r="X160" s="308"/>
      <c r="Y160" s="200">
        <f t="shared" si="106"/>
        <v>46324.37</v>
      </c>
      <c r="Z160" s="320">
        <f t="shared" si="92"/>
        <v>46324.37</v>
      </c>
      <c r="AA160" s="33" t="str">
        <f t="shared" si="93"/>
        <v>P</v>
      </c>
      <c r="AB160" s="99" t="str">
        <f t="shared" si="107"/>
        <v>SUPER</v>
      </c>
      <c r="AC160" s="218">
        <v>46303</v>
      </c>
      <c r="AD160" s="217" t="s">
        <v>415</v>
      </c>
      <c r="AE160" s="219">
        <v>21.37</v>
      </c>
      <c r="AF160" s="48"/>
      <c r="AH160" s="5"/>
    </row>
    <row r="161" spans="2:34" ht="15" customHeight="1">
      <c r="B161" s="337"/>
      <c r="C161" s="191"/>
      <c r="D161" s="74"/>
      <c r="E161" s="58" t="str">
        <f t="shared" si="103"/>
        <v/>
      </c>
      <c r="F161" s="351"/>
      <c r="G161" s="343" t="str">
        <f t="shared" si="105"/>
        <v/>
      </c>
      <c r="H161" s="344" t="str">
        <f t="shared" si="100"/>
        <v/>
      </c>
      <c r="I161" s="343" t="str">
        <f t="shared" si="102"/>
        <v/>
      </c>
      <c r="J161" s="383"/>
      <c r="K161" s="351"/>
      <c r="L161" s="384" t="str">
        <f t="shared" si="101"/>
        <v/>
      </c>
      <c r="M161" s="354"/>
      <c r="N161" s="348" t="str">
        <f t="shared" si="104"/>
        <v/>
      </c>
      <c r="O161" s="308"/>
      <c r="P161" s="308"/>
      <c r="Q161" s="308"/>
      <c r="R161" s="308"/>
      <c r="S161" s="308"/>
      <c r="T161" s="308"/>
      <c r="U161" s="308"/>
      <c r="V161" s="308"/>
      <c r="W161" s="308"/>
      <c r="X161" s="308"/>
      <c r="Y161" s="200">
        <f t="shared" si="106"/>
        <v>46286.05</v>
      </c>
      <c r="Z161" s="320">
        <f t="shared" si="92"/>
        <v>46286.05</v>
      </c>
      <c r="AA161" s="33" t="str">
        <f t="shared" si="93"/>
        <v>P</v>
      </c>
      <c r="AB161" s="99" t="str">
        <f t="shared" si="107"/>
        <v>GUTO</v>
      </c>
      <c r="AC161" s="218">
        <v>46282</v>
      </c>
      <c r="AD161" s="217" t="s">
        <v>359</v>
      </c>
      <c r="AE161" s="219">
        <v>4.05</v>
      </c>
      <c r="AF161" s="48"/>
      <c r="AH161" s="5"/>
    </row>
    <row r="162" spans="2:34" ht="15" customHeight="1">
      <c r="B162" s="337"/>
      <c r="C162" s="191"/>
      <c r="D162" s="74"/>
      <c r="E162" s="58" t="str">
        <f t="shared" si="103"/>
        <v/>
      </c>
      <c r="F162" s="351"/>
      <c r="G162" s="343" t="str">
        <f t="shared" si="105"/>
        <v/>
      </c>
      <c r="H162" s="344" t="str">
        <f t="shared" si="100"/>
        <v/>
      </c>
      <c r="I162" s="343" t="str">
        <f t="shared" si="102"/>
        <v/>
      </c>
      <c r="J162" s="383"/>
      <c r="K162" s="351"/>
      <c r="L162" s="384" t="str">
        <f t="shared" si="101"/>
        <v/>
      </c>
      <c r="M162" s="354"/>
      <c r="N162" s="348" t="str">
        <f t="shared" si="104"/>
        <v/>
      </c>
      <c r="O162" s="308"/>
      <c r="P162" s="308"/>
      <c r="Q162" s="308"/>
      <c r="R162" s="308"/>
      <c r="S162" s="308"/>
      <c r="T162" s="308"/>
      <c r="U162" s="308"/>
      <c r="V162" s="308"/>
      <c r="W162" s="308"/>
      <c r="X162" s="308"/>
      <c r="Y162" s="200">
        <f t="shared" si="106"/>
        <v>46307.15</v>
      </c>
      <c r="Z162" s="320">
        <f t="shared" si="92"/>
        <v>46307.15</v>
      </c>
      <c r="AA162" s="33" t="str">
        <f t="shared" si="93"/>
        <v>P</v>
      </c>
      <c r="AB162" s="99" t="str">
        <f>IF(Z162="","",IFERROR(VLOOKUP(Z162,$H$12:$I$243,2,0),""))</f>
        <v>TV</v>
      </c>
      <c r="AC162" s="218">
        <v>46303</v>
      </c>
      <c r="AD162" s="217" t="s">
        <v>375</v>
      </c>
      <c r="AE162" s="219">
        <v>4.1500000000000004</v>
      </c>
      <c r="AF162" s="48"/>
      <c r="AH162" s="5"/>
    </row>
    <row r="163" spans="2:34" ht="15" customHeight="1">
      <c r="B163" s="337"/>
      <c r="C163" s="191"/>
      <c r="D163" s="74"/>
      <c r="E163" s="58" t="str">
        <f t="shared" si="103"/>
        <v/>
      </c>
      <c r="F163" s="351"/>
      <c r="G163" s="343" t="str">
        <f t="shared" si="105"/>
        <v/>
      </c>
      <c r="H163" s="344" t="str">
        <f t="shared" si="100"/>
        <v/>
      </c>
      <c r="I163" s="343" t="str">
        <f t="shared" si="102"/>
        <v/>
      </c>
      <c r="J163" s="383"/>
      <c r="K163" s="351"/>
      <c r="L163" s="384" t="str">
        <f t="shared" si="101"/>
        <v/>
      </c>
      <c r="M163" s="354"/>
      <c r="N163" s="348" t="str">
        <f t="shared" si="104"/>
        <v/>
      </c>
      <c r="O163" s="308"/>
      <c r="P163" s="308"/>
      <c r="Q163" s="308"/>
      <c r="R163" s="308"/>
      <c r="S163" s="308"/>
      <c r="T163" s="308"/>
      <c r="U163" s="308"/>
      <c r="V163" s="308"/>
      <c r="W163" s="308"/>
      <c r="X163" s="308"/>
      <c r="Y163" s="200">
        <f t="shared" si="106"/>
        <v>46326.39</v>
      </c>
      <c r="Z163" s="320">
        <f t="shared" si="92"/>
        <v>46326.39</v>
      </c>
      <c r="AA163" s="33" t="str">
        <f t="shared" si="93"/>
        <v>P</v>
      </c>
      <c r="AB163" s="99" t="str">
        <f t="shared" ref="AB163:AB164" si="108">IF(Z163="","",IFERROR(VLOOKUP(Z163,$H$12:$I$243,2,0),""))</f>
        <v>GUTO</v>
      </c>
      <c r="AC163" s="218">
        <v>46287</v>
      </c>
      <c r="AD163" s="217" t="s">
        <v>301</v>
      </c>
      <c r="AE163" s="219">
        <v>39.39</v>
      </c>
      <c r="AF163" s="48"/>
      <c r="AH163" s="5"/>
    </row>
    <row r="164" spans="2:34" ht="15" customHeight="1">
      <c r="B164" s="337"/>
      <c r="C164" s="191"/>
      <c r="D164" s="74"/>
      <c r="E164" s="58" t="str">
        <f t="shared" si="103"/>
        <v/>
      </c>
      <c r="F164" s="351"/>
      <c r="G164" s="343" t="str">
        <f t="shared" si="105"/>
        <v/>
      </c>
      <c r="H164" s="344" t="str">
        <f t="shared" si="100"/>
        <v/>
      </c>
      <c r="I164" s="343" t="str">
        <f t="shared" si="102"/>
        <v/>
      </c>
      <c r="J164" s="383"/>
      <c r="K164" s="351"/>
      <c r="L164" s="384" t="str">
        <f t="shared" si="101"/>
        <v/>
      </c>
      <c r="M164" s="354"/>
      <c r="N164" s="348" t="str">
        <f t="shared" si="104"/>
        <v/>
      </c>
      <c r="O164" s="308"/>
      <c r="P164" s="308"/>
      <c r="Q164" s="308"/>
      <c r="R164" s="308"/>
      <c r="S164" s="308"/>
      <c r="T164" s="308"/>
      <c r="U164" s="308"/>
      <c r="V164" s="308"/>
      <c r="W164" s="308"/>
      <c r="X164" s="308"/>
      <c r="Y164" s="200">
        <f t="shared" si="106"/>
        <v>46302.86</v>
      </c>
      <c r="Z164" s="320">
        <f t="shared" si="92"/>
        <v>46302.86</v>
      </c>
      <c r="AA164" s="33" t="str">
        <f t="shared" si="93"/>
        <v>P</v>
      </c>
      <c r="AB164" s="99" t="str">
        <f t="shared" si="108"/>
        <v>CARRO</v>
      </c>
      <c r="AC164" s="218">
        <v>46283</v>
      </c>
      <c r="AD164" s="217" t="s">
        <v>300</v>
      </c>
      <c r="AE164" s="219">
        <v>19.86</v>
      </c>
      <c r="AF164" s="48"/>
      <c r="AH164" s="5"/>
    </row>
    <row r="165" spans="2:34" ht="15" customHeight="1">
      <c r="B165" s="337"/>
      <c r="C165" s="191"/>
      <c r="D165" s="74"/>
      <c r="E165" s="58" t="str">
        <f t="shared" si="103"/>
        <v/>
      </c>
      <c r="F165" s="351"/>
      <c r="G165" s="343" t="str">
        <f t="shared" si="105"/>
        <v/>
      </c>
      <c r="H165" s="344" t="str">
        <f t="shared" si="100"/>
        <v/>
      </c>
      <c r="I165" s="343" t="str">
        <f t="shared" si="102"/>
        <v/>
      </c>
      <c r="J165" s="383"/>
      <c r="K165" s="351"/>
      <c r="L165" s="384" t="str">
        <f t="shared" si="101"/>
        <v/>
      </c>
      <c r="M165" s="354"/>
      <c r="N165" s="348" t="str">
        <f t="shared" si="104"/>
        <v/>
      </c>
      <c r="O165" s="312"/>
      <c r="P165" s="308"/>
      <c r="Q165" s="308"/>
      <c r="R165" s="308"/>
      <c r="S165" s="308"/>
      <c r="T165" s="308"/>
      <c r="U165" s="308"/>
      <c r="V165" s="308"/>
      <c r="W165" s="308"/>
      <c r="X165" s="308"/>
      <c r="Y165" s="200" t="str">
        <f t="shared" si="106"/>
        <v/>
      </c>
      <c r="Z165" s="320">
        <f t="shared" si="92"/>
        <v>46397.77</v>
      </c>
      <c r="AA165" s="33" t="str">
        <f t="shared" si="93"/>
        <v>O</v>
      </c>
      <c r="AB165" s="99" t="str">
        <f t="shared" si="107"/>
        <v/>
      </c>
      <c r="AC165" s="218">
        <v>46282</v>
      </c>
      <c r="AD165" s="217" t="s">
        <v>272</v>
      </c>
      <c r="AE165" s="219">
        <v>115.77</v>
      </c>
      <c r="AF165" s="48"/>
      <c r="AH165" s="5"/>
    </row>
    <row r="166" spans="2:34" ht="15" customHeight="1">
      <c r="B166" s="337"/>
      <c r="C166" s="191"/>
      <c r="D166" s="74"/>
      <c r="E166" s="58" t="str">
        <f t="shared" si="103"/>
        <v/>
      </c>
      <c r="F166" s="351"/>
      <c r="G166" s="343" t="str">
        <f t="shared" si="105"/>
        <v/>
      </c>
      <c r="H166" s="344" t="str">
        <f t="shared" si="100"/>
        <v/>
      </c>
      <c r="I166" s="343" t="str">
        <f t="shared" si="102"/>
        <v/>
      </c>
      <c r="J166" s="383"/>
      <c r="K166" s="351"/>
      <c r="L166" s="384" t="str">
        <f t="shared" si="101"/>
        <v/>
      </c>
      <c r="M166" s="354"/>
      <c r="N166" s="348" t="str">
        <f t="shared" si="104"/>
        <v/>
      </c>
      <c r="O166" s="312"/>
      <c r="P166" s="308"/>
      <c r="Q166" s="308"/>
      <c r="R166" s="308"/>
      <c r="S166" s="308"/>
      <c r="T166" s="308"/>
      <c r="U166" s="308"/>
      <c r="V166" s="308"/>
      <c r="W166" s="308"/>
      <c r="X166" s="308"/>
      <c r="Y166" s="200">
        <f t="shared" si="106"/>
        <v>46536.11</v>
      </c>
      <c r="Z166" s="320">
        <f t="shared" si="92"/>
        <v>46536.11</v>
      </c>
      <c r="AA166" s="33" t="str">
        <f t="shared" si="93"/>
        <v>P</v>
      </c>
      <c r="AB166" s="99" t="str">
        <f t="shared" si="107"/>
        <v>PRUDENTIAL</v>
      </c>
      <c r="AC166" s="218">
        <v>46281</v>
      </c>
      <c r="AD166" s="217" t="s">
        <v>29</v>
      </c>
      <c r="AE166" s="219">
        <v>255.11</v>
      </c>
      <c r="AF166" s="48"/>
      <c r="AH166" s="5"/>
    </row>
    <row r="167" spans="2:34" ht="15" customHeight="1">
      <c r="B167" s="337"/>
      <c r="C167" s="191"/>
      <c r="D167" s="74"/>
      <c r="E167" s="58" t="str">
        <f t="shared" si="103"/>
        <v/>
      </c>
      <c r="F167" s="351"/>
      <c r="G167" s="343" t="str">
        <f t="shared" si="105"/>
        <v/>
      </c>
      <c r="H167" s="344" t="str">
        <f t="shared" si="100"/>
        <v/>
      </c>
      <c r="I167" s="343" t="str">
        <f t="shared" si="102"/>
        <v/>
      </c>
      <c r="J167" s="383"/>
      <c r="K167" s="351"/>
      <c r="L167" s="384" t="str">
        <f t="shared" si="101"/>
        <v/>
      </c>
      <c r="M167" s="354"/>
      <c r="N167" s="348" t="str">
        <f t="shared" si="104"/>
        <v/>
      </c>
      <c r="O167" s="308"/>
      <c r="P167" s="308"/>
      <c r="Q167" s="308"/>
      <c r="R167" s="308"/>
      <c r="S167" s="308"/>
      <c r="T167" s="308"/>
      <c r="U167" s="308"/>
      <c r="V167" s="308"/>
      <c r="W167" s="308"/>
      <c r="X167" s="308"/>
      <c r="Y167" s="200">
        <f t="shared" si="106"/>
        <v>46528.18</v>
      </c>
      <c r="Z167" s="320">
        <f t="shared" si="92"/>
        <v>46528.18</v>
      </c>
      <c r="AA167" s="33" t="str">
        <f t="shared" si="93"/>
        <v>P</v>
      </c>
      <c r="AB167" s="99" t="str">
        <f t="shared" si="107"/>
        <v>PRUDENTIAL</v>
      </c>
      <c r="AC167" s="218">
        <v>46281</v>
      </c>
      <c r="AD167" s="217" t="s">
        <v>29</v>
      </c>
      <c r="AE167" s="219">
        <v>247.18</v>
      </c>
      <c r="AF167" s="48"/>
      <c r="AH167" s="5"/>
    </row>
    <row r="168" spans="2:34" ht="15" customHeight="1">
      <c r="B168" s="337"/>
      <c r="C168" s="191"/>
      <c r="D168" s="74"/>
      <c r="E168" s="58" t="str">
        <f t="shared" si="103"/>
        <v/>
      </c>
      <c r="F168" s="351"/>
      <c r="G168" s="343" t="str">
        <f t="shared" si="105"/>
        <v/>
      </c>
      <c r="H168" s="344" t="str">
        <f t="shared" si="100"/>
        <v/>
      </c>
      <c r="I168" s="343" t="str">
        <f t="shared" si="102"/>
        <v/>
      </c>
      <c r="J168" s="383"/>
      <c r="K168" s="351"/>
      <c r="L168" s="384" t="str">
        <f t="shared" si="101"/>
        <v/>
      </c>
      <c r="M168" s="354"/>
      <c r="N168" s="348" t="str">
        <f t="shared" si="104"/>
        <v/>
      </c>
      <c r="O168" s="308"/>
      <c r="P168" s="308"/>
      <c r="Q168" s="308"/>
      <c r="R168" s="308"/>
      <c r="S168" s="308"/>
      <c r="T168" s="308"/>
      <c r="U168" s="308"/>
      <c r="V168" s="308"/>
      <c r="W168" s="308"/>
      <c r="X168" s="308"/>
      <c r="Y168" s="200">
        <f t="shared" si="106"/>
        <v>46981.78</v>
      </c>
      <c r="Z168" s="320">
        <f t="shared" si="92"/>
        <v>46981.78</v>
      </c>
      <c r="AA168" s="33" t="str">
        <f t="shared" si="93"/>
        <v>P</v>
      </c>
      <c r="AB168" s="99" t="str">
        <f t="shared" si="107"/>
        <v>JOÃO</v>
      </c>
      <c r="AC168" s="218">
        <v>46282</v>
      </c>
      <c r="AD168" s="217" t="s">
        <v>412</v>
      </c>
      <c r="AE168" s="219">
        <v>699.78</v>
      </c>
      <c r="AF168" s="48"/>
      <c r="AH168" s="5"/>
    </row>
    <row r="169" spans="2:34" ht="15" customHeight="1">
      <c r="B169" s="337"/>
      <c r="C169" s="191"/>
      <c r="D169" s="74"/>
      <c r="E169" s="58" t="str">
        <f t="shared" si="103"/>
        <v/>
      </c>
      <c r="F169" s="351"/>
      <c r="G169" s="343" t="str">
        <f t="shared" si="105"/>
        <v/>
      </c>
      <c r="H169" s="344" t="str">
        <f t="shared" si="100"/>
        <v/>
      </c>
      <c r="I169" s="343" t="str">
        <f t="shared" si="102"/>
        <v/>
      </c>
      <c r="J169" s="383"/>
      <c r="K169" s="351"/>
      <c r="L169" s="384" t="str">
        <f t="shared" si="101"/>
        <v/>
      </c>
      <c r="M169" s="354"/>
      <c r="N169" s="348" t="str">
        <f t="shared" si="104"/>
        <v/>
      </c>
      <c r="O169" s="308"/>
      <c r="P169" s="308"/>
      <c r="Q169" s="308"/>
      <c r="R169" s="308"/>
      <c r="S169" s="308"/>
      <c r="T169" s="308"/>
      <c r="U169" s="308"/>
      <c r="V169" s="308"/>
      <c r="W169" s="308"/>
      <c r="X169" s="308"/>
      <c r="Y169" s="200">
        <f t="shared" si="106"/>
        <v>46335.839999999997</v>
      </c>
      <c r="Z169" s="320">
        <f t="shared" si="92"/>
        <v>46335.839999999997</v>
      </c>
      <c r="AA169" s="33" t="str">
        <f t="shared" si="93"/>
        <v>P</v>
      </c>
      <c r="AB169" s="99" t="str">
        <f t="shared" si="107"/>
        <v>JOÃO</v>
      </c>
      <c r="AC169" s="218">
        <v>46267</v>
      </c>
      <c r="AD169" s="217" t="s">
        <v>254</v>
      </c>
      <c r="AE169" s="219">
        <v>68.84</v>
      </c>
      <c r="AF169" s="48"/>
      <c r="AH169" s="5"/>
    </row>
    <row r="170" spans="2:34" ht="15" customHeight="1">
      <c r="B170" s="337"/>
      <c r="C170" s="191"/>
      <c r="D170" s="74"/>
      <c r="E170" s="58" t="str">
        <f t="shared" si="103"/>
        <v/>
      </c>
      <c r="F170" s="351"/>
      <c r="G170" s="343" t="str">
        <f t="shared" si="105"/>
        <v/>
      </c>
      <c r="H170" s="344" t="str">
        <f t="shared" si="100"/>
        <v/>
      </c>
      <c r="I170" s="343" t="str">
        <f t="shared" si="102"/>
        <v/>
      </c>
      <c r="J170" s="383"/>
      <c r="K170" s="351"/>
      <c r="L170" s="384" t="str">
        <f t="shared" si="101"/>
        <v/>
      </c>
      <c r="M170" s="354"/>
      <c r="N170" s="348" t="str">
        <f t="shared" si="104"/>
        <v/>
      </c>
      <c r="O170" s="308"/>
      <c r="P170" s="308"/>
      <c r="Q170" s="308"/>
      <c r="R170" s="308"/>
      <c r="S170" s="308"/>
      <c r="T170" s="308"/>
      <c r="U170" s="308"/>
      <c r="V170" s="308"/>
      <c r="W170" s="308"/>
      <c r="X170" s="308"/>
      <c r="Y170" s="200">
        <f t="shared" si="106"/>
        <v>46345.98</v>
      </c>
      <c r="Z170" s="320">
        <f t="shared" si="92"/>
        <v>46345.98</v>
      </c>
      <c r="AA170" s="33" t="str">
        <f t="shared" si="93"/>
        <v>P</v>
      </c>
      <c r="AB170" s="99" t="str">
        <f t="shared" si="107"/>
        <v>GUTO</v>
      </c>
      <c r="AC170" s="218">
        <v>46260</v>
      </c>
      <c r="AD170" s="217" t="s">
        <v>253</v>
      </c>
      <c r="AE170" s="219">
        <v>85.98</v>
      </c>
      <c r="AF170" s="48"/>
      <c r="AH170" s="5"/>
    </row>
    <row r="171" spans="2:34" ht="15" customHeight="1">
      <c r="B171" s="337"/>
      <c r="C171" s="191"/>
      <c r="D171" s="74"/>
      <c r="E171" s="58" t="str">
        <f t="shared" si="103"/>
        <v/>
      </c>
      <c r="F171" s="351"/>
      <c r="G171" s="343" t="str">
        <f t="shared" si="105"/>
        <v/>
      </c>
      <c r="H171" s="344" t="str">
        <f t="shared" si="100"/>
        <v/>
      </c>
      <c r="I171" s="343" t="str">
        <f t="shared" si="102"/>
        <v/>
      </c>
      <c r="J171" s="383"/>
      <c r="K171" s="351"/>
      <c r="L171" s="384" t="str">
        <f t="shared" si="101"/>
        <v/>
      </c>
      <c r="M171" s="354"/>
      <c r="N171" s="348" t="str">
        <f t="shared" si="104"/>
        <v/>
      </c>
      <c r="O171" s="308"/>
      <c r="P171" s="308"/>
      <c r="Q171" s="308"/>
      <c r="R171" s="308"/>
      <c r="S171" s="308"/>
      <c r="T171" s="308"/>
      <c r="U171" s="308"/>
      <c r="V171" s="308"/>
      <c r="W171" s="308"/>
      <c r="X171" s="308"/>
      <c r="Y171" s="200">
        <f t="shared" si="106"/>
        <v>46338.16</v>
      </c>
      <c r="Z171" s="320">
        <f t="shared" si="92"/>
        <v>46338.16</v>
      </c>
      <c r="AA171" s="33" t="str">
        <f t="shared" si="93"/>
        <v>P</v>
      </c>
      <c r="AB171" s="99" t="str">
        <f t="shared" si="107"/>
        <v>JOÃO</v>
      </c>
      <c r="AC171" s="218">
        <v>46259</v>
      </c>
      <c r="AD171" s="217" t="s">
        <v>252</v>
      </c>
      <c r="AE171" s="219">
        <v>79.16</v>
      </c>
      <c r="AF171" s="48"/>
      <c r="AH171" s="5"/>
    </row>
    <row r="172" spans="2:34" ht="15" customHeight="1">
      <c r="B172" s="337"/>
      <c r="C172" s="191"/>
      <c r="D172" s="74"/>
      <c r="E172" s="58" t="str">
        <f t="shared" si="103"/>
        <v/>
      </c>
      <c r="F172" s="351"/>
      <c r="G172" s="343" t="str">
        <f t="shared" si="105"/>
        <v/>
      </c>
      <c r="H172" s="344" t="str">
        <f t="shared" si="100"/>
        <v/>
      </c>
      <c r="I172" s="343" t="str">
        <f t="shared" si="102"/>
        <v/>
      </c>
      <c r="J172" s="383"/>
      <c r="K172" s="351"/>
      <c r="L172" s="384" t="str">
        <f t="shared" si="101"/>
        <v/>
      </c>
      <c r="M172" s="354"/>
      <c r="N172" s="348" t="str">
        <f t="shared" si="104"/>
        <v/>
      </c>
      <c r="O172" s="308"/>
      <c r="P172" s="308"/>
      <c r="Q172" s="308"/>
      <c r="R172" s="308"/>
      <c r="S172" s="308"/>
      <c r="T172" s="308"/>
      <c r="U172" s="308"/>
      <c r="V172" s="308"/>
      <c r="W172" s="308"/>
      <c r="X172" s="308"/>
      <c r="Y172" s="200">
        <f t="shared" si="106"/>
        <v>46400.17</v>
      </c>
      <c r="Z172" s="320">
        <f t="shared" si="92"/>
        <v>46400.17</v>
      </c>
      <c r="AA172" s="33" t="str">
        <f t="shared" si="93"/>
        <v>P</v>
      </c>
      <c r="AB172" s="99" t="str">
        <f t="shared" si="107"/>
        <v>JOÃO</v>
      </c>
      <c r="AC172" s="218">
        <v>46259</v>
      </c>
      <c r="AD172" s="217" t="s">
        <v>251</v>
      </c>
      <c r="AE172" s="219">
        <v>141.16999999999999</v>
      </c>
      <c r="AF172" s="48"/>
      <c r="AH172" s="5"/>
    </row>
    <row r="173" spans="2:34" ht="15" customHeight="1">
      <c r="B173" s="337"/>
      <c r="C173" s="191"/>
      <c r="D173" s="74"/>
      <c r="E173" s="58" t="str">
        <f t="shared" si="103"/>
        <v/>
      </c>
      <c r="F173" s="351"/>
      <c r="G173" s="343" t="str">
        <f t="shared" si="105"/>
        <v/>
      </c>
      <c r="H173" s="344" t="str">
        <f t="shared" si="100"/>
        <v/>
      </c>
      <c r="I173" s="343" t="str">
        <f t="shared" si="102"/>
        <v/>
      </c>
      <c r="J173" s="383"/>
      <c r="K173" s="351"/>
      <c r="L173" s="384" t="str">
        <f t="shared" si="101"/>
        <v/>
      </c>
      <c r="M173" s="354"/>
      <c r="N173" s="348" t="str">
        <f t="shared" si="104"/>
        <v/>
      </c>
      <c r="O173" s="308"/>
      <c r="P173" s="308"/>
      <c r="Q173" s="308"/>
      <c r="R173" s="308"/>
      <c r="S173" s="308"/>
      <c r="T173" s="308"/>
      <c r="U173" s="308"/>
      <c r="V173" s="308"/>
      <c r="W173" s="308"/>
      <c r="X173" s="308"/>
      <c r="Y173" s="201">
        <f t="shared" si="106"/>
        <v>46263.75</v>
      </c>
      <c r="Z173" s="321">
        <f t="shared" si="92"/>
        <v>46263.75</v>
      </c>
      <c r="AA173" s="115" t="str">
        <f t="shared" si="93"/>
        <v>P</v>
      </c>
      <c r="AB173" s="99" t="str">
        <f t="shared" si="107"/>
        <v>EXT JOÃO</v>
      </c>
      <c r="AC173" s="218">
        <v>46220</v>
      </c>
      <c r="AD173" s="217" t="s">
        <v>250</v>
      </c>
      <c r="AE173" s="219">
        <v>43.75</v>
      </c>
      <c r="AF173" s="116"/>
      <c r="AH173" s="5"/>
    </row>
    <row r="174" spans="2:34" ht="15" customHeight="1">
      <c r="B174" s="337"/>
      <c r="C174" s="191"/>
      <c r="D174" s="74"/>
      <c r="E174" s="58" t="str">
        <f t="shared" ref="E174:E175" si="109">IF(OR(B174="",F174="Pago"),"",B174)</f>
        <v/>
      </c>
      <c r="F174" s="351"/>
      <c r="G174" s="343" t="str">
        <f t="shared" si="105"/>
        <v/>
      </c>
      <c r="H174" s="344" t="str">
        <f t="shared" si="100"/>
        <v/>
      </c>
      <c r="I174" s="343" t="str">
        <f t="shared" si="102"/>
        <v/>
      </c>
      <c r="J174" s="383"/>
      <c r="K174" s="351"/>
      <c r="L174" s="384" t="str">
        <f t="shared" ref="L174:L175" si="110">IF(K174="AV","8",IF(AND(G174="",H174=""),"",IF(G174=H174,"P",IF(G174&lt;&gt;H174,"O"))))</f>
        <v/>
      </c>
      <c r="M174" s="354"/>
      <c r="N174" s="348" t="str">
        <f t="shared" ref="N174:N175" si="111">IF(F174="Pago",B174,"")</f>
        <v/>
      </c>
      <c r="O174" s="308"/>
      <c r="P174" s="308"/>
      <c r="Q174" s="308"/>
      <c r="R174" s="308"/>
      <c r="S174" s="308"/>
      <c r="T174" s="308"/>
      <c r="U174" s="308"/>
      <c r="V174" s="308"/>
      <c r="W174" s="308"/>
      <c r="X174" s="308"/>
      <c r="Y174" s="197"/>
      <c r="AC174" s="565">
        <f>SUM(AE154:AE173)</f>
        <v>1825.5600000000002</v>
      </c>
      <c r="AD174" s="566"/>
      <c r="AE174" s="567"/>
      <c r="AH174" s="5"/>
    </row>
    <row r="175" spans="2:34" ht="15" customHeight="1">
      <c r="B175" s="337"/>
      <c r="C175" s="191"/>
      <c r="D175" s="74"/>
      <c r="E175" s="58" t="str">
        <f t="shared" si="109"/>
        <v/>
      </c>
      <c r="F175" s="351"/>
      <c r="G175" s="343" t="str">
        <f t="shared" si="105"/>
        <v/>
      </c>
      <c r="H175" s="344" t="str">
        <f t="shared" si="100"/>
        <v/>
      </c>
      <c r="I175" s="343" t="str">
        <f t="shared" si="102"/>
        <v/>
      </c>
      <c r="J175" s="383"/>
      <c r="K175" s="351"/>
      <c r="L175" s="384" t="str">
        <f t="shared" si="110"/>
        <v/>
      </c>
      <c r="M175" s="354"/>
      <c r="N175" s="348" t="str">
        <f t="shared" si="111"/>
        <v/>
      </c>
      <c r="O175" s="308"/>
      <c r="P175" s="308"/>
      <c r="Q175" s="308"/>
      <c r="R175" s="308"/>
      <c r="S175" s="308"/>
      <c r="T175" s="308"/>
      <c r="U175" s="308"/>
      <c r="V175" s="308"/>
      <c r="W175" s="308"/>
      <c r="X175" s="308"/>
      <c r="Y175" s="197"/>
      <c r="AC175" s="570"/>
      <c r="AD175" s="571"/>
      <c r="AE175" s="572"/>
      <c r="AH175" s="5"/>
    </row>
    <row r="176" spans="2:34" ht="15" customHeight="1">
      <c r="B176" s="337"/>
      <c r="C176" s="191"/>
      <c r="D176" s="74"/>
      <c r="E176" s="58" t="str">
        <f>IF(OR(B176="",F176="Pago"),"",B176)</f>
        <v/>
      </c>
      <c r="F176" s="351"/>
      <c r="G176" s="343" t="str">
        <f t="shared" si="105"/>
        <v/>
      </c>
      <c r="H176" s="344" t="str">
        <f t="shared" si="100"/>
        <v/>
      </c>
      <c r="I176" s="343" t="str">
        <f t="shared" si="102"/>
        <v/>
      </c>
      <c r="J176" s="383"/>
      <c r="K176" s="351"/>
      <c r="L176" s="384" t="str">
        <f>IF(K176="AV","8",IF(AND(G176="",H176=""),"",IF(G176=H176,"P",IF(G176&lt;&gt;H176,"O"))))</f>
        <v/>
      </c>
      <c r="M176" s="355"/>
      <c r="N176" s="348" t="str">
        <f>IF(F176="Pago",B176,"")</f>
        <v/>
      </c>
      <c r="O176" s="308"/>
      <c r="P176" s="308"/>
      <c r="Q176" s="308"/>
      <c r="R176" s="308"/>
      <c r="S176" s="308"/>
      <c r="T176" s="308"/>
      <c r="U176" s="308"/>
      <c r="V176" s="308"/>
      <c r="W176" s="308"/>
      <c r="X176" s="308"/>
      <c r="Y176" s="197"/>
      <c r="AH176" s="5"/>
    </row>
    <row r="177" spans="2:34" ht="15" customHeight="1">
      <c r="B177" s="338"/>
      <c r="C177" s="215"/>
      <c r="D177" s="66"/>
      <c r="E177" s="67" t="str">
        <f>IF(OR(B177="",F177="Pago"),"",B177)</f>
        <v/>
      </c>
      <c r="F177" s="356"/>
      <c r="G177" s="345" t="str">
        <f t="shared" si="105"/>
        <v/>
      </c>
      <c r="H177" s="345" t="str">
        <f t="shared" si="100"/>
        <v/>
      </c>
      <c r="I177" s="345" t="str">
        <f t="shared" si="102"/>
        <v/>
      </c>
      <c r="J177" s="357"/>
      <c r="K177" s="356"/>
      <c r="L177" s="359" t="str">
        <f>IF(K177="AV","8",IF(AND(G177="",H177=""),"",IF(G177=H177,"P",IF(G177&lt;&gt;H177,"O"))))</f>
        <v/>
      </c>
      <c r="M177" s="360"/>
      <c r="N177" s="349" t="str">
        <f>IF(F177="Pago",B177,"")</f>
        <v/>
      </c>
      <c r="O177" s="308"/>
      <c r="P177" s="308"/>
      <c r="Q177" s="308"/>
      <c r="R177" s="308"/>
      <c r="S177" s="308"/>
      <c r="T177" s="308"/>
      <c r="U177" s="308"/>
      <c r="V177" s="308"/>
      <c r="W177" s="308"/>
      <c r="X177" s="308"/>
      <c r="Y177" s="197"/>
      <c r="AH177" s="5"/>
    </row>
    <row r="178" spans="2:34" ht="15" customHeight="1">
      <c r="B178" s="308"/>
      <c r="C178" s="308"/>
      <c r="D178" s="308"/>
      <c r="E178" s="308"/>
      <c r="F178" s="308"/>
      <c r="G178" s="308"/>
      <c r="H178" s="308"/>
      <c r="I178" s="308"/>
      <c r="J178" s="308"/>
      <c r="K178" s="308"/>
      <c r="L178" s="308"/>
      <c r="M178" s="308"/>
      <c r="N178" s="308"/>
      <c r="O178" s="308"/>
      <c r="P178" s="308"/>
      <c r="Q178" s="308"/>
      <c r="R178" s="308"/>
      <c r="S178" s="308"/>
      <c r="T178" s="308"/>
      <c r="U178" s="308"/>
      <c r="V178" s="308"/>
      <c r="W178" s="308"/>
      <c r="X178" s="308"/>
      <c r="Y178" s="197"/>
      <c r="AH178" s="5"/>
    </row>
    <row r="179" spans="2:34" ht="15" customHeight="1">
      <c r="B179" s="545" t="s">
        <v>129</v>
      </c>
      <c r="C179" s="546"/>
      <c r="D179" s="547"/>
      <c r="E179" s="551">
        <f>SUM(E181:E191)</f>
        <v>0</v>
      </c>
      <c r="F179" s="552"/>
      <c r="G179" s="322"/>
      <c r="H179" s="220"/>
      <c r="I179" s="342" t="str">
        <f t="shared" si="88"/>
        <v/>
      </c>
      <c r="J179" s="699">
        <f>SUM(N181:N191)</f>
        <v>63.75</v>
      </c>
      <c r="K179" s="699"/>
      <c r="L179" s="700"/>
      <c r="M179" s="559">
        <f>SUM(E179,J179)</f>
        <v>63.75</v>
      </c>
      <c r="N179" s="560"/>
      <c r="O179" s="308"/>
      <c r="P179" s="308"/>
      <c r="Q179" s="308"/>
      <c r="R179" s="308"/>
      <c r="S179" s="308"/>
      <c r="T179" s="308"/>
      <c r="U179" s="308"/>
      <c r="V179" s="308"/>
      <c r="W179" s="308"/>
      <c r="X179" s="308"/>
      <c r="Y179" s="197"/>
      <c r="AH179" s="5"/>
    </row>
    <row r="180" spans="2:34" ht="15" customHeight="1">
      <c r="B180" s="548"/>
      <c r="C180" s="549"/>
      <c r="D180" s="550"/>
      <c r="E180" s="553"/>
      <c r="F180" s="554"/>
      <c r="G180" s="323"/>
      <c r="H180" s="222"/>
      <c r="I180" s="346" t="str">
        <f t="shared" si="88"/>
        <v/>
      </c>
      <c r="J180" s="701"/>
      <c r="K180" s="701"/>
      <c r="L180" s="702"/>
      <c r="M180" s="561"/>
      <c r="N180" s="562"/>
      <c r="O180" s="308"/>
      <c r="P180" s="308"/>
      <c r="Q180" s="308"/>
      <c r="R180" s="308"/>
      <c r="S180" s="308"/>
      <c r="T180" s="308"/>
      <c r="U180" s="308"/>
      <c r="V180" s="308"/>
      <c r="W180" s="308"/>
      <c r="X180" s="308"/>
      <c r="Y180" s="197"/>
      <c r="AH180" s="5"/>
    </row>
    <row r="181" spans="2:34" ht="15" customHeight="1">
      <c r="B181" s="337">
        <v>43.75</v>
      </c>
      <c r="C181" s="191">
        <v>46220</v>
      </c>
      <c r="D181" s="185" t="s">
        <v>178</v>
      </c>
      <c r="E181" s="58" t="str">
        <f>IF(OR(B181="",F181="Pago"),"",B181)</f>
        <v/>
      </c>
      <c r="F181" s="351" t="s">
        <v>2</v>
      </c>
      <c r="G181" s="343">
        <f t="shared" ref="G181" si="112">IF(B181="","",B181+C181)</f>
        <v>46263.75</v>
      </c>
      <c r="H181" s="343">
        <f t="shared" ref="H181" si="113">IFERROR(VLOOKUP(G181,$Z$5:$Z$174,1,0),"")</f>
        <v>46263.75</v>
      </c>
      <c r="I181" s="343" t="str">
        <f>IF(OR(G181&lt;&gt;"",H181&lt;&gt;""),"EXT JOÃO","")</f>
        <v>EXT JOÃO</v>
      </c>
      <c r="J181" s="383" t="s">
        <v>98</v>
      </c>
      <c r="K181" s="385" t="s">
        <v>8</v>
      </c>
      <c r="L181" s="384" t="str">
        <f t="shared" ref="L181:L187" si="114">IF(K181="AV","8",IF(AND(G181="",H181=""),"",IF(G181=H181,"P",IF(G181&lt;&gt;H181,"O"))))</f>
        <v>P</v>
      </c>
      <c r="M181" s="354" t="s">
        <v>244</v>
      </c>
      <c r="N181" s="347">
        <f>IF(F181="Pago",B181,"")</f>
        <v>43.75</v>
      </c>
      <c r="O181" s="308"/>
      <c r="P181" s="308"/>
      <c r="Q181" s="308"/>
      <c r="R181" s="308"/>
      <c r="S181" s="308"/>
      <c r="T181" s="308"/>
      <c r="U181" s="308"/>
      <c r="V181" s="308"/>
      <c r="W181" s="308"/>
      <c r="X181" s="308"/>
      <c r="Y181" s="197"/>
      <c r="AH181" s="5"/>
    </row>
    <row r="182" spans="2:34" ht="15" customHeight="1">
      <c r="B182" s="337">
        <v>20</v>
      </c>
      <c r="C182" s="191">
        <v>20.100000000000001</v>
      </c>
      <c r="D182" s="74" t="s">
        <v>421</v>
      </c>
      <c r="E182" s="58"/>
      <c r="F182" s="351" t="s">
        <v>2</v>
      </c>
      <c r="G182" s="343" t="s">
        <v>135</v>
      </c>
      <c r="H182" s="343"/>
      <c r="I182" s="343"/>
      <c r="J182" s="383" t="s">
        <v>98</v>
      </c>
      <c r="K182" s="351" t="s">
        <v>118</v>
      </c>
      <c r="L182" s="384" t="str">
        <f t="shared" si="114"/>
        <v>8</v>
      </c>
      <c r="M182" s="354"/>
      <c r="N182" s="348">
        <f>IF(F182="Pago",B182,"")</f>
        <v>20</v>
      </c>
      <c r="O182" s="312"/>
      <c r="P182" s="308"/>
      <c r="Q182" s="308"/>
      <c r="R182" s="308"/>
      <c r="S182" s="308"/>
      <c r="T182" s="308"/>
      <c r="U182" s="308"/>
      <c r="V182" s="308"/>
      <c r="W182" s="308"/>
      <c r="X182" s="308"/>
      <c r="Y182" s="197"/>
      <c r="AH182" s="5"/>
    </row>
    <row r="183" spans="2:34" ht="15" customHeight="1">
      <c r="B183" s="337"/>
      <c r="C183" s="191"/>
      <c r="D183" s="74"/>
      <c r="E183" s="58" t="str">
        <f t="shared" ref="E183:E187" si="115">IF(OR(B183="",F183="Pago"),"",B183)</f>
        <v/>
      </c>
      <c r="F183" s="351"/>
      <c r="G183" s="343" t="str">
        <f t="shared" ref="G183:G191" si="116">IF(B183="","",B183+C183)</f>
        <v/>
      </c>
      <c r="H183" s="343" t="str">
        <f t="shared" ref="H183:H191" si="117">IFERROR(VLOOKUP(G183,$Z$5:$Z$174,1,0),"")</f>
        <v/>
      </c>
      <c r="I183" s="343" t="str">
        <f t="shared" ref="I183:I191" si="118">IF(OR(G183&lt;&gt;"",H183&lt;&gt;""),"EXT JOÃO","")</f>
        <v/>
      </c>
      <c r="J183" s="383"/>
      <c r="K183" s="351"/>
      <c r="L183" s="384" t="str">
        <f t="shared" si="114"/>
        <v/>
      </c>
      <c r="M183" s="354"/>
      <c r="N183" s="348" t="str">
        <f t="shared" ref="N183:N187" si="119">IF(F183="Pago",B183,"")</f>
        <v/>
      </c>
      <c r="O183" s="312"/>
      <c r="P183" s="308"/>
      <c r="Q183" s="308"/>
      <c r="R183" s="308"/>
      <c r="S183" s="308"/>
      <c r="T183" s="308"/>
      <c r="U183" s="308"/>
      <c r="V183" s="308"/>
      <c r="W183" s="308"/>
      <c r="X183" s="308"/>
      <c r="Y183" s="197"/>
      <c r="AH183" s="5"/>
    </row>
    <row r="184" spans="2:34" ht="15" customHeight="1">
      <c r="B184" s="337"/>
      <c r="C184" s="191"/>
      <c r="D184" s="74"/>
      <c r="E184" s="58" t="str">
        <f t="shared" si="115"/>
        <v/>
      </c>
      <c r="F184" s="351"/>
      <c r="G184" s="343" t="str">
        <f t="shared" si="116"/>
        <v/>
      </c>
      <c r="H184" s="343" t="str">
        <f t="shared" si="117"/>
        <v/>
      </c>
      <c r="I184" s="343" t="str">
        <f t="shared" si="118"/>
        <v/>
      </c>
      <c r="J184" s="383"/>
      <c r="K184" s="351"/>
      <c r="L184" s="384" t="str">
        <f t="shared" si="114"/>
        <v/>
      </c>
      <c r="M184" s="354"/>
      <c r="N184" s="348" t="str">
        <f t="shared" si="119"/>
        <v/>
      </c>
      <c r="O184" s="312"/>
      <c r="P184" s="308"/>
      <c r="Q184" s="308"/>
      <c r="R184" s="308"/>
      <c r="S184" s="308"/>
      <c r="T184" s="308"/>
      <c r="U184" s="308"/>
      <c r="V184" s="308"/>
      <c r="W184" s="308"/>
      <c r="X184" s="308"/>
      <c r="Y184" s="197"/>
      <c r="AH184" s="5"/>
    </row>
    <row r="185" spans="2:34" ht="15" customHeight="1">
      <c r="B185" s="337"/>
      <c r="C185" s="191"/>
      <c r="D185" s="74"/>
      <c r="E185" s="58" t="str">
        <f t="shared" si="115"/>
        <v/>
      </c>
      <c r="F185" s="351"/>
      <c r="G185" s="343" t="str">
        <f t="shared" si="116"/>
        <v/>
      </c>
      <c r="H185" s="343" t="str">
        <f t="shared" si="117"/>
        <v/>
      </c>
      <c r="I185" s="343" t="str">
        <f t="shared" si="118"/>
        <v/>
      </c>
      <c r="J185" s="383"/>
      <c r="K185" s="351"/>
      <c r="L185" s="384" t="str">
        <f t="shared" si="114"/>
        <v/>
      </c>
      <c r="M185" s="354"/>
      <c r="N185" s="348" t="str">
        <f t="shared" si="119"/>
        <v/>
      </c>
      <c r="O185" s="308"/>
      <c r="P185" s="308"/>
      <c r="Q185" s="308"/>
      <c r="R185" s="308"/>
      <c r="S185" s="308"/>
      <c r="T185" s="308"/>
      <c r="U185" s="308"/>
      <c r="V185" s="308"/>
      <c r="W185" s="308"/>
      <c r="X185" s="308"/>
      <c r="Y185" s="197"/>
      <c r="AH185" s="5"/>
    </row>
    <row r="186" spans="2:34" ht="15" customHeight="1">
      <c r="B186" s="337"/>
      <c r="C186" s="191"/>
      <c r="D186" s="74"/>
      <c r="E186" s="58" t="str">
        <f t="shared" si="115"/>
        <v/>
      </c>
      <c r="F186" s="351"/>
      <c r="G186" s="343" t="str">
        <f t="shared" si="116"/>
        <v/>
      </c>
      <c r="H186" s="343" t="str">
        <f t="shared" si="117"/>
        <v/>
      </c>
      <c r="I186" s="343" t="str">
        <f t="shared" si="118"/>
        <v/>
      </c>
      <c r="J186" s="383"/>
      <c r="K186" s="351"/>
      <c r="L186" s="384" t="str">
        <f t="shared" si="114"/>
        <v/>
      </c>
      <c r="M186" s="354"/>
      <c r="N186" s="348" t="str">
        <f t="shared" si="119"/>
        <v/>
      </c>
      <c r="O186" s="312"/>
      <c r="P186" s="308"/>
      <c r="Q186" s="308"/>
      <c r="R186" s="308"/>
      <c r="S186" s="308"/>
      <c r="T186" s="308"/>
      <c r="U186" s="308"/>
      <c r="V186" s="308"/>
      <c r="W186" s="308"/>
      <c r="X186" s="308"/>
      <c r="Y186" s="197"/>
      <c r="AH186" s="5"/>
    </row>
    <row r="187" spans="2:34" ht="15" customHeight="1">
      <c r="B187" s="337"/>
      <c r="C187" s="191"/>
      <c r="D187" s="74"/>
      <c r="E187" s="58" t="str">
        <f t="shared" si="115"/>
        <v/>
      </c>
      <c r="F187" s="351"/>
      <c r="G187" s="343" t="str">
        <f t="shared" si="116"/>
        <v/>
      </c>
      <c r="H187" s="343" t="str">
        <f t="shared" si="117"/>
        <v/>
      </c>
      <c r="I187" s="343" t="str">
        <f t="shared" si="118"/>
        <v/>
      </c>
      <c r="J187" s="383"/>
      <c r="K187" s="351"/>
      <c r="L187" s="384" t="str">
        <f t="shared" si="114"/>
        <v/>
      </c>
      <c r="M187" s="354"/>
      <c r="N187" s="348" t="str">
        <f t="shared" si="119"/>
        <v/>
      </c>
      <c r="O187" s="308"/>
      <c r="P187" s="308"/>
      <c r="Q187" s="308"/>
      <c r="R187" s="308"/>
      <c r="S187" s="308"/>
      <c r="T187" s="308"/>
      <c r="U187" s="308"/>
      <c r="V187" s="308"/>
      <c r="W187" s="308"/>
      <c r="X187" s="308"/>
      <c r="Y187" s="197"/>
      <c r="AH187" s="5"/>
    </row>
    <row r="188" spans="2:34" ht="15" customHeight="1">
      <c r="B188" s="337"/>
      <c r="C188" s="191"/>
      <c r="D188" s="74"/>
      <c r="E188" s="58" t="str">
        <f t="shared" ref="E188:E189" si="120">IF(OR(B188="",F188="Pago"),"",B188)</f>
        <v/>
      </c>
      <c r="F188" s="351"/>
      <c r="G188" s="343" t="str">
        <f t="shared" si="116"/>
        <v/>
      </c>
      <c r="H188" s="343" t="str">
        <f t="shared" si="117"/>
        <v/>
      </c>
      <c r="I188" s="343" t="str">
        <f t="shared" si="118"/>
        <v/>
      </c>
      <c r="J188" s="383"/>
      <c r="K188" s="351"/>
      <c r="L188" s="384" t="str">
        <f t="shared" ref="L188:L189" si="121">IF(K188="AV","8",IF(AND(G188="",H188=""),"",IF(G188=H188,"P",IF(G188&lt;&gt;H188,"O"))))</f>
        <v/>
      </c>
      <c r="M188" s="354"/>
      <c r="N188" s="348" t="str">
        <f t="shared" ref="N188:N189" si="122">IF(F188="Pago",B188,"")</f>
        <v/>
      </c>
      <c r="O188" s="308"/>
      <c r="P188" s="308"/>
      <c r="Q188" s="308"/>
      <c r="R188" s="308"/>
      <c r="S188" s="308"/>
      <c r="T188" s="308"/>
      <c r="U188" s="308"/>
      <c r="V188" s="308"/>
      <c r="W188" s="308"/>
      <c r="X188" s="308"/>
      <c r="Y188" s="197"/>
      <c r="AH188" s="5"/>
    </row>
    <row r="189" spans="2:34" ht="15" customHeight="1">
      <c r="B189" s="337"/>
      <c r="C189" s="191"/>
      <c r="D189" s="74"/>
      <c r="E189" s="58" t="str">
        <f t="shared" si="120"/>
        <v/>
      </c>
      <c r="F189" s="351"/>
      <c r="G189" s="343" t="str">
        <f t="shared" si="116"/>
        <v/>
      </c>
      <c r="H189" s="343" t="str">
        <f t="shared" si="117"/>
        <v/>
      </c>
      <c r="I189" s="343" t="str">
        <f t="shared" si="118"/>
        <v/>
      </c>
      <c r="J189" s="383"/>
      <c r="K189" s="351"/>
      <c r="L189" s="384" t="str">
        <f t="shared" si="121"/>
        <v/>
      </c>
      <c r="M189" s="354"/>
      <c r="N189" s="348" t="str">
        <f t="shared" si="122"/>
        <v/>
      </c>
      <c r="O189" s="308"/>
      <c r="P189" s="308"/>
      <c r="Q189" s="308"/>
      <c r="R189" s="308"/>
      <c r="S189" s="308"/>
      <c r="T189" s="308"/>
      <c r="U189" s="308"/>
      <c r="V189" s="308"/>
      <c r="W189" s="308"/>
      <c r="X189" s="308"/>
      <c r="Y189" s="197"/>
      <c r="AH189" s="5"/>
    </row>
    <row r="190" spans="2:34" ht="15" customHeight="1">
      <c r="B190" s="337"/>
      <c r="C190" s="191"/>
      <c r="D190" s="74"/>
      <c r="E190" s="58" t="str">
        <f>IF(OR(B190="",F190="Pago"),"",B190)</f>
        <v/>
      </c>
      <c r="F190" s="351"/>
      <c r="G190" s="343" t="str">
        <f t="shared" si="116"/>
        <v/>
      </c>
      <c r="H190" s="343" t="str">
        <f t="shared" si="117"/>
        <v/>
      </c>
      <c r="I190" s="343" t="str">
        <f t="shared" si="118"/>
        <v/>
      </c>
      <c r="J190" s="383"/>
      <c r="K190" s="351"/>
      <c r="L190" s="384" t="str">
        <f>IF(K190="AV","8",IF(AND(G190="",H190=""),"",IF(G190=H190,"P",IF(G190&lt;&gt;H190,"O"))))</f>
        <v/>
      </c>
      <c r="M190" s="355"/>
      <c r="N190" s="348" t="str">
        <f>IF(F190="Pago",B190,"")</f>
        <v/>
      </c>
      <c r="O190" s="308"/>
      <c r="P190" s="308"/>
      <c r="Q190" s="308"/>
      <c r="R190" s="308"/>
      <c r="S190" s="308"/>
      <c r="T190" s="308"/>
      <c r="U190" s="308"/>
      <c r="V190" s="308"/>
      <c r="W190" s="308"/>
      <c r="X190" s="308"/>
      <c r="Y190" s="197"/>
      <c r="AH190" s="5"/>
    </row>
    <row r="191" spans="2:34" ht="15" customHeight="1">
      <c r="B191" s="338"/>
      <c r="C191" s="215"/>
      <c r="D191" s="76"/>
      <c r="E191" s="67" t="str">
        <f>IF(OR(B191="",F191="Pago"),"",B191)</f>
        <v/>
      </c>
      <c r="F191" s="356"/>
      <c r="G191" s="345" t="str">
        <f t="shared" si="116"/>
        <v/>
      </c>
      <c r="H191" s="345" t="str">
        <f t="shared" si="117"/>
        <v/>
      </c>
      <c r="I191" s="345" t="str">
        <f t="shared" si="118"/>
        <v/>
      </c>
      <c r="J191" s="357"/>
      <c r="K191" s="356"/>
      <c r="L191" s="359" t="str">
        <f>IF(K191="AV","8",IF(AND(G191="",H191=""),"",IF(G191=H191,"P",IF(G191&lt;&gt;H191,"O"))))</f>
        <v/>
      </c>
      <c r="M191" s="360"/>
      <c r="N191" s="349" t="str">
        <f>IF(F191="Pago",B191,"")</f>
        <v/>
      </c>
      <c r="O191" s="308"/>
      <c r="P191" s="308"/>
      <c r="Q191" s="308"/>
      <c r="R191" s="308"/>
      <c r="S191" s="308"/>
      <c r="T191" s="308"/>
      <c r="U191" s="308"/>
      <c r="V191" s="308"/>
      <c r="W191" s="308"/>
      <c r="X191" s="308"/>
      <c r="Y191" s="197"/>
      <c r="AH191" s="5"/>
    </row>
    <row r="192" spans="2:34" ht="15" customHeight="1">
      <c r="B192" s="308"/>
      <c r="C192" s="308"/>
      <c r="D192" s="308"/>
      <c r="E192" s="308"/>
      <c r="F192" s="308"/>
      <c r="G192" s="308"/>
      <c r="H192" s="308"/>
      <c r="I192" s="308"/>
      <c r="J192" s="308"/>
      <c r="K192" s="308"/>
      <c r="L192" s="308"/>
      <c r="M192" s="308"/>
      <c r="N192" s="308"/>
      <c r="O192" s="308"/>
      <c r="P192" s="308"/>
      <c r="Q192" s="308"/>
      <c r="R192" s="308"/>
      <c r="S192" s="308"/>
      <c r="T192" s="308"/>
      <c r="U192" s="308"/>
      <c r="V192" s="308"/>
      <c r="W192" s="308"/>
      <c r="X192" s="308"/>
      <c r="Y192" s="197"/>
    </row>
    <row r="193" spans="2:25" ht="15" customHeight="1">
      <c r="B193" s="545" t="s">
        <v>124</v>
      </c>
      <c r="C193" s="546"/>
      <c r="D193" s="547"/>
      <c r="E193" s="551">
        <f>SUM(E195:E207)</f>
        <v>0</v>
      </c>
      <c r="F193" s="552"/>
      <c r="G193" s="322"/>
      <c r="H193" s="220"/>
      <c r="I193" s="342" t="str">
        <f t="shared" ref="I193:I222" si="123">IF(OR(G193&lt;&gt;"",H193&lt;&gt;""),"SUPER","")</f>
        <v/>
      </c>
      <c r="J193" s="699">
        <f>SUM(N195:N207)</f>
        <v>1916.21</v>
      </c>
      <c r="K193" s="699"/>
      <c r="L193" s="700"/>
      <c r="M193" s="559">
        <f>SUM(E193,J193)</f>
        <v>1916.21</v>
      </c>
      <c r="N193" s="560"/>
      <c r="O193" s="308"/>
      <c r="P193" s="308"/>
      <c r="Q193" s="308"/>
      <c r="R193" s="308"/>
      <c r="S193" s="308"/>
      <c r="T193" s="308"/>
      <c r="U193" s="308"/>
      <c r="V193" s="308"/>
      <c r="W193" s="308"/>
      <c r="X193" s="308"/>
      <c r="Y193" s="197"/>
    </row>
    <row r="194" spans="2:25" ht="15" customHeight="1">
      <c r="B194" s="548"/>
      <c r="C194" s="549"/>
      <c r="D194" s="550"/>
      <c r="E194" s="553"/>
      <c r="F194" s="554"/>
      <c r="G194" s="323"/>
      <c r="H194" s="222"/>
      <c r="I194" s="346" t="str">
        <f t="shared" si="123"/>
        <v/>
      </c>
      <c r="J194" s="701"/>
      <c r="K194" s="701"/>
      <c r="L194" s="702"/>
      <c r="M194" s="561"/>
      <c r="N194" s="562"/>
      <c r="O194" s="308"/>
      <c r="P194" s="308"/>
      <c r="Q194" s="308"/>
      <c r="R194" s="308"/>
      <c r="S194" s="308"/>
      <c r="T194" s="308"/>
      <c r="U194" s="308"/>
      <c r="V194" s="308"/>
      <c r="W194" s="308"/>
      <c r="X194" s="308"/>
      <c r="Y194" s="197"/>
    </row>
    <row r="195" spans="2:25" ht="15" customHeight="1">
      <c r="B195" s="337">
        <v>99.68</v>
      </c>
      <c r="C195" s="191">
        <v>46196</v>
      </c>
      <c r="D195" s="184" t="s">
        <v>169</v>
      </c>
      <c r="E195" s="58" t="str">
        <f>IF(OR(B195="",F195="Pago"),"",B195)</f>
        <v/>
      </c>
      <c r="F195" s="351" t="s">
        <v>2</v>
      </c>
      <c r="G195" s="343">
        <f t="shared" ref="G195:G202" si="124">IF(B195="","",B195+C195)</f>
        <v>46295.68</v>
      </c>
      <c r="H195" s="343">
        <f t="shared" ref="H195:H202" si="125">IFERROR(VLOOKUP(G195,$Z$5:$Z$174,1,0),"")</f>
        <v>46295.68</v>
      </c>
      <c r="I195" s="343" t="str">
        <f>IF(OR(G195&lt;&gt;"",H195&lt;&gt;""),"JOÃO","")</f>
        <v>JOÃO</v>
      </c>
      <c r="J195" s="383" t="s">
        <v>98</v>
      </c>
      <c r="K195" s="385" t="s">
        <v>90</v>
      </c>
      <c r="L195" s="384" t="str">
        <f>IF(K195="AV","8",IF(AND(G195="",H195=""),"",IF(G195=H195,"P",IF(G195&lt;&gt;H195,"O"))))</f>
        <v>P</v>
      </c>
      <c r="M195" s="355" t="s">
        <v>240</v>
      </c>
      <c r="N195" s="347">
        <f>IF(F195="Pago",B195,"")</f>
        <v>99.68</v>
      </c>
      <c r="O195" s="308"/>
      <c r="P195" s="308"/>
      <c r="Q195" s="308"/>
      <c r="R195" s="308"/>
      <c r="S195" s="308"/>
      <c r="T195" s="308"/>
      <c r="U195" s="308"/>
      <c r="V195" s="308"/>
      <c r="W195" s="308"/>
      <c r="X195" s="308"/>
      <c r="Y195" s="197"/>
    </row>
    <row r="196" spans="2:25" ht="15" customHeight="1">
      <c r="B196" s="337">
        <v>142.85</v>
      </c>
      <c r="C196" s="191">
        <v>46198</v>
      </c>
      <c r="D196" s="184" t="s">
        <v>170</v>
      </c>
      <c r="E196" s="58" t="str">
        <f>IF(OR(B196="",F196="Pago"),"",B196)</f>
        <v/>
      </c>
      <c r="F196" s="351" t="s">
        <v>2</v>
      </c>
      <c r="G196" s="343">
        <f t="shared" si="124"/>
        <v>46340.85</v>
      </c>
      <c r="H196" s="343">
        <f t="shared" si="125"/>
        <v>46340.85</v>
      </c>
      <c r="I196" s="343" t="str">
        <f t="shared" ref="I196:I207" si="126">IF(OR(G196&lt;&gt;"",H196&lt;&gt;""),"JOÃO","")</f>
        <v>JOÃO</v>
      </c>
      <c r="J196" s="383" t="s">
        <v>98</v>
      </c>
      <c r="K196" s="351" t="s">
        <v>90</v>
      </c>
      <c r="L196" s="384" t="str">
        <f>IF(K196="AV","8",IF(AND(G196="",H196=""),"",IF(G196=H196,"P",IF(G196&lt;&gt;H196,"O"))))</f>
        <v>P</v>
      </c>
      <c r="M196" s="352" t="s">
        <v>241</v>
      </c>
      <c r="N196" s="348">
        <f>IF(F196="Pago",B196,"")</f>
        <v>142.85</v>
      </c>
      <c r="O196" s="308"/>
      <c r="P196" s="308"/>
      <c r="Q196" s="308"/>
      <c r="R196" s="308"/>
      <c r="S196" s="308"/>
      <c r="T196" s="308"/>
      <c r="U196" s="308"/>
      <c r="V196" s="308"/>
      <c r="W196" s="308"/>
      <c r="X196" s="308"/>
      <c r="Y196" s="197"/>
    </row>
    <row r="197" spans="2:25" ht="15" customHeight="1">
      <c r="B197" s="337">
        <v>249.9</v>
      </c>
      <c r="C197" s="191">
        <v>46259</v>
      </c>
      <c r="D197" s="184" t="s">
        <v>216</v>
      </c>
      <c r="E197" s="58" t="str">
        <f t="shared" ref="E197:E207" si="127">IF(OR(B197="",F197="Pago"),"",B197)</f>
        <v/>
      </c>
      <c r="F197" s="351" t="s">
        <v>2</v>
      </c>
      <c r="G197" s="343">
        <f t="shared" si="124"/>
        <v>46508.9</v>
      </c>
      <c r="H197" s="343">
        <f t="shared" si="125"/>
        <v>46508.9</v>
      </c>
      <c r="I197" s="343" t="str">
        <f t="shared" si="126"/>
        <v>JOÃO</v>
      </c>
      <c r="J197" s="383" t="s">
        <v>98</v>
      </c>
      <c r="K197" s="351" t="s">
        <v>90</v>
      </c>
      <c r="L197" s="384" t="str">
        <f t="shared" ref="L197:L207" si="128">IF(K197="AV","8",IF(AND(G197="",H197=""),"",IF(G197=H197,"P",IF(G197&lt;&gt;H197,"O"))))</f>
        <v>P</v>
      </c>
      <c r="M197" s="352" t="s">
        <v>242</v>
      </c>
      <c r="N197" s="348">
        <f t="shared" ref="N197:N207" si="129">IF(F197="Pago",B197,"")</f>
        <v>249.9</v>
      </c>
      <c r="O197" s="308"/>
      <c r="P197" s="308"/>
      <c r="Q197" s="308"/>
      <c r="R197" s="308"/>
      <c r="S197" s="308"/>
      <c r="T197" s="308"/>
      <c r="U197" s="308"/>
      <c r="V197" s="308"/>
      <c r="W197" s="308"/>
      <c r="X197" s="308"/>
      <c r="Y197" s="197"/>
    </row>
    <row r="198" spans="2:25" ht="15" customHeight="1">
      <c r="B198" s="337">
        <v>79.16</v>
      </c>
      <c r="C198" s="191">
        <v>46259</v>
      </c>
      <c r="D198" s="184" t="s">
        <v>217</v>
      </c>
      <c r="E198" s="58" t="str">
        <f t="shared" si="127"/>
        <v/>
      </c>
      <c r="F198" s="351" t="s">
        <v>2</v>
      </c>
      <c r="G198" s="343">
        <f t="shared" si="124"/>
        <v>46338.16</v>
      </c>
      <c r="H198" s="343">
        <f t="shared" si="125"/>
        <v>46338.16</v>
      </c>
      <c r="I198" s="343" t="str">
        <f t="shared" si="126"/>
        <v>JOÃO</v>
      </c>
      <c r="J198" s="383" t="s">
        <v>98</v>
      </c>
      <c r="K198" s="351" t="s">
        <v>8</v>
      </c>
      <c r="L198" s="384" t="str">
        <f t="shared" si="128"/>
        <v>P</v>
      </c>
      <c r="M198" s="352" t="s">
        <v>242</v>
      </c>
      <c r="N198" s="348">
        <f t="shared" si="129"/>
        <v>79.16</v>
      </c>
      <c r="O198" s="308"/>
      <c r="P198" s="308"/>
      <c r="Q198" s="308"/>
      <c r="R198" s="308"/>
      <c r="S198" s="308"/>
      <c r="T198" s="308"/>
      <c r="U198" s="308"/>
      <c r="V198" s="308"/>
      <c r="W198" s="308"/>
      <c r="X198" s="308"/>
      <c r="Y198" s="197"/>
    </row>
    <row r="199" spans="2:25" ht="15" customHeight="1">
      <c r="B199" s="337">
        <v>141.16999999999999</v>
      </c>
      <c r="C199" s="191">
        <v>46259</v>
      </c>
      <c r="D199" s="184" t="s">
        <v>218</v>
      </c>
      <c r="E199" s="58" t="str">
        <f t="shared" si="127"/>
        <v/>
      </c>
      <c r="F199" s="351" t="s">
        <v>2</v>
      </c>
      <c r="G199" s="343">
        <f t="shared" si="124"/>
        <v>46400.17</v>
      </c>
      <c r="H199" s="343">
        <f t="shared" si="125"/>
        <v>46400.17</v>
      </c>
      <c r="I199" s="343" t="str">
        <f t="shared" si="126"/>
        <v>JOÃO</v>
      </c>
      <c r="J199" s="383" t="s">
        <v>98</v>
      </c>
      <c r="K199" s="351" t="s">
        <v>8</v>
      </c>
      <c r="L199" s="384" t="str">
        <f t="shared" si="128"/>
        <v>P</v>
      </c>
      <c r="M199" s="352" t="s">
        <v>242</v>
      </c>
      <c r="N199" s="348">
        <f t="shared" si="129"/>
        <v>141.16999999999999</v>
      </c>
      <c r="O199" s="308"/>
      <c r="P199" s="308"/>
      <c r="Q199" s="308"/>
      <c r="R199" s="308"/>
      <c r="S199" s="308"/>
      <c r="T199" s="308"/>
      <c r="U199" s="308"/>
      <c r="V199" s="308"/>
      <c r="W199" s="308"/>
      <c r="X199" s="308"/>
      <c r="Y199" s="197"/>
    </row>
    <row r="200" spans="2:25" ht="15" customHeight="1">
      <c r="B200" s="337">
        <v>68.84</v>
      </c>
      <c r="C200" s="191">
        <v>46267</v>
      </c>
      <c r="D200" s="184" t="s">
        <v>230</v>
      </c>
      <c r="E200" s="58" t="str">
        <f t="shared" si="127"/>
        <v/>
      </c>
      <c r="F200" s="351" t="s">
        <v>2</v>
      </c>
      <c r="G200" s="343">
        <f t="shared" si="124"/>
        <v>46335.839999999997</v>
      </c>
      <c r="H200" s="343">
        <f t="shared" si="125"/>
        <v>46335.839999999997</v>
      </c>
      <c r="I200" s="343" t="str">
        <f t="shared" si="126"/>
        <v>JOÃO</v>
      </c>
      <c r="J200" s="383" t="s">
        <v>98</v>
      </c>
      <c r="K200" s="351" t="s">
        <v>8</v>
      </c>
      <c r="L200" s="384" t="str">
        <f t="shared" si="128"/>
        <v>P</v>
      </c>
      <c r="M200" s="352" t="s">
        <v>243</v>
      </c>
      <c r="N200" s="348">
        <f t="shared" si="129"/>
        <v>68.84</v>
      </c>
      <c r="O200" s="308"/>
      <c r="P200" s="308"/>
      <c r="Q200" s="308"/>
      <c r="R200" s="308"/>
      <c r="S200" s="308"/>
      <c r="T200" s="308"/>
      <c r="U200" s="308"/>
      <c r="V200" s="308"/>
      <c r="W200" s="308"/>
      <c r="X200" s="308"/>
      <c r="Y200" s="197"/>
    </row>
    <row r="201" spans="2:25" ht="15" customHeight="1">
      <c r="B201" s="337">
        <v>123.34</v>
      </c>
      <c r="C201" s="191">
        <v>46227</v>
      </c>
      <c r="D201" s="184" t="s">
        <v>179</v>
      </c>
      <c r="E201" s="58" t="str">
        <f t="shared" si="127"/>
        <v/>
      </c>
      <c r="F201" s="351" t="s">
        <v>2</v>
      </c>
      <c r="G201" s="343">
        <f t="shared" si="124"/>
        <v>46350.34</v>
      </c>
      <c r="H201" s="343">
        <f t="shared" si="125"/>
        <v>46350.34</v>
      </c>
      <c r="I201" s="343" t="str">
        <f t="shared" si="126"/>
        <v>JOÃO</v>
      </c>
      <c r="J201" s="383" t="s">
        <v>98</v>
      </c>
      <c r="K201" s="351" t="s">
        <v>90</v>
      </c>
      <c r="L201" s="384" t="str">
        <f t="shared" si="128"/>
        <v>P</v>
      </c>
      <c r="M201" s="352" t="s">
        <v>244</v>
      </c>
      <c r="N201" s="348">
        <f t="shared" si="129"/>
        <v>123.34</v>
      </c>
      <c r="O201" s="308"/>
      <c r="P201" s="308"/>
      <c r="Q201" s="308"/>
      <c r="R201" s="308"/>
      <c r="S201" s="308"/>
      <c r="T201" s="308"/>
      <c r="U201" s="308"/>
      <c r="V201" s="308"/>
      <c r="W201" s="308"/>
      <c r="X201" s="308"/>
      <c r="Y201" s="197"/>
    </row>
    <row r="202" spans="2:25" ht="15" customHeight="1">
      <c r="B202" s="337">
        <v>699.78</v>
      </c>
      <c r="C202" s="191">
        <v>46282</v>
      </c>
      <c r="D202" s="74" t="s">
        <v>273</v>
      </c>
      <c r="E202" s="58" t="str">
        <f t="shared" si="127"/>
        <v/>
      </c>
      <c r="F202" s="351" t="s">
        <v>2</v>
      </c>
      <c r="G202" s="343">
        <f t="shared" si="124"/>
        <v>46981.78</v>
      </c>
      <c r="H202" s="343">
        <f t="shared" si="125"/>
        <v>46981.78</v>
      </c>
      <c r="I202" s="343" t="str">
        <f t="shared" si="126"/>
        <v>JOÃO</v>
      </c>
      <c r="J202" s="383" t="s">
        <v>98</v>
      </c>
      <c r="K202" s="351" t="s">
        <v>8</v>
      </c>
      <c r="L202" s="384" t="str">
        <f t="shared" si="128"/>
        <v>P</v>
      </c>
      <c r="M202" s="352" t="s">
        <v>265</v>
      </c>
      <c r="N202" s="348">
        <f t="shared" si="129"/>
        <v>699.78</v>
      </c>
      <c r="O202" s="308"/>
      <c r="P202" s="308"/>
      <c r="Q202" s="308"/>
      <c r="R202" s="308"/>
      <c r="S202" s="308"/>
      <c r="T202" s="308"/>
      <c r="U202" s="308"/>
      <c r="V202" s="308"/>
      <c r="W202" s="308"/>
      <c r="X202" s="308"/>
      <c r="Y202" s="197"/>
    </row>
    <row r="203" spans="2:25" ht="15" customHeight="1">
      <c r="B203" s="337">
        <v>181.49</v>
      </c>
      <c r="C203" s="191">
        <v>46296</v>
      </c>
      <c r="D203" s="74" t="s">
        <v>344</v>
      </c>
      <c r="E203" s="58" t="str">
        <f t="shared" si="127"/>
        <v/>
      </c>
      <c r="F203" s="351" t="s">
        <v>2</v>
      </c>
      <c r="G203" s="343">
        <f t="shared" ref="G203" si="130">IF(B203="","",B203+C203)</f>
        <v>46477.49</v>
      </c>
      <c r="H203" s="343">
        <f t="shared" ref="H203" si="131">IFERROR(VLOOKUP(G203,$Z$5:$Z$174,1,0),"")</f>
        <v>46477.49</v>
      </c>
      <c r="I203" s="343" t="str">
        <f t="shared" si="126"/>
        <v>JOÃO</v>
      </c>
      <c r="J203" s="383" t="s">
        <v>98</v>
      </c>
      <c r="K203" s="351" t="s">
        <v>90</v>
      </c>
      <c r="L203" s="384" t="str">
        <f t="shared" si="128"/>
        <v>P</v>
      </c>
      <c r="M203" s="352"/>
      <c r="N203" s="348">
        <f t="shared" si="129"/>
        <v>181.49</v>
      </c>
      <c r="O203" s="308"/>
      <c r="P203" s="308"/>
      <c r="Q203" s="308"/>
      <c r="R203" s="308"/>
      <c r="S203" s="308"/>
      <c r="T203" s="308"/>
      <c r="U203" s="308"/>
      <c r="V203" s="308"/>
      <c r="W203" s="308"/>
      <c r="X203" s="308"/>
      <c r="Y203" s="197"/>
    </row>
    <row r="204" spans="2:25" ht="15" customHeight="1">
      <c r="B204" s="337">
        <v>50</v>
      </c>
      <c r="C204" s="191">
        <v>46313</v>
      </c>
      <c r="D204" s="428" t="s">
        <v>417</v>
      </c>
      <c r="E204" s="494" t="str">
        <f t="shared" si="127"/>
        <v/>
      </c>
      <c r="F204" s="351" t="s">
        <v>2</v>
      </c>
      <c r="G204" s="343">
        <f t="shared" ref="G204:G207" si="132">IF(B204="","",B204+C204)</f>
        <v>46363</v>
      </c>
      <c r="H204" s="343" t="str">
        <f t="shared" ref="H204:H207" si="133">IFERROR(VLOOKUP(G204,$Z$5:$Z$174,1,0),"")</f>
        <v/>
      </c>
      <c r="I204" s="343" t="str">
        <f t="shared" si="126"/>
        <v>JOÃO</v>
      </c>
      <c r="J204" s="383" t="s">
        <v>98</v>
      </c>
      <c r="K204" s="351" t="s">
        <v>118</v>
      </c>
      <c r="L204" s="384" t="str">
        <f t="shared" si="128"/>
        <v>8</v>
      </c>
      <c r="M204" s="352"/>
      <c r="N204" s="348">
        <f t="shared" si="129"/>
        <v>50</v>
      </c>
      <c r="O204" s="308"/>
      <c r="P204" s="308"/>
      <c r="Q204" s="308"/>
      <c r="R204" s="308"/>
      <c r="S204" s="308"/>
      <c r="T204" s="308"/>
      <c r="U204" s="308"/>
      <c r="V204" s="308"/>
      <c r="W204" s="308"/>
      <c r="X204" s="308"/>
      <c r="Y204" s="197"/>
    </row>
    <row r="205" spans="2:25" ht="15" customHeight="1">
      <c r="B205" s="337">
        <v>60</v>
      </c>
      <c r="C205" s="191">
        <v>46313</v>
      </c>
      <c r="D205" s="428" t="s">
        <v>417</v>
      </c>
      <c r="E205" s="494" t="str">
        <f t="shared" si="127"/>
        <v/>
      </c>
      <c r="F205" s="351" t="s">
        <v>2</v>
      </c>
      <c r="G205" s="343">
        <f t="shared" si="132"/>
        <v>46373</v>
      </c>
      <c r="H205" s="343" t="str">
        <f t="shared" si="133"/>
        <v/>
      </c>
      <c r="I205" s="343" t="str">
        <f t="shared" si="126"/>
        <v>JOÃO</v>
      </c>
      <c r="J205" s="383" t="s">
        <v>98</v>
      </c>
      <c r="K205" s="351" t="s">
        <v>118</v>
      </c>
      <c r="L205" s="384" t="str">
        <f t="shared" si="128"/>
        <v>8</v>
      </c>
      <c r="M205" s="352"/>
      <c r="N205" s="348">
        <f t="shared" si="129"/>
        <v>60</v>
      </c>
      <c r="O205" s="308"/>
      <c r="P205" s="308"/>
      <c r="Q205" s="308"/>
      <c r="R205" s="308"/>
      <c r="S205" s="308"/>
      <c r="T205" s="308"/>
      <c r="U205" s="308"/>
      <c r="V205" s="308"/>
      <c r="W205" s="308"/>
      <c r="X205" s="308"/>
      <c r="Y205" s="197"/>
    </row>
    <row r="206" spans="2:25" ht="15" customHeight="1">
      <c r="B206" s="337">
        <v>20</v>
      </c>
      <c r="C206" s="191">
        <v>46315</v>
      </c>
      <c r="D206" s="74" t="s">
        <v>460</v>
      </c>
      <c r="E206" s="58" t="str">
        <f t="shared" si="127"/>
        <v/>
      </c>
      <c r="F206" s="351" t="s">
        <v>2</v>
      </c>
      <c r="G206" s="343">
        <f t="shared" si="132"/>
        <v>46335</v>
      </c>
      <c r="H206" s="343" t="str">
        <f t="shared" si="133"/>
        <v/>
      </c>
      <c r="I206" s="343" t="str">
        <f t="shared" si="126"/>
        <v>JOÃO</v>
      </c>
      <c r="J206" s="383"/>
      <c r="K206" s="351" t="s">
        <v>118</v>
      </c>
      <c r="L206" s="384" t="str">
        <f t="shared" si="128"/>
        <v>8</v>
      </c>
      <c r="M206" s="352"/>
      <c r="N206" s="348">
        <f t="shared" si="129"/>
        <v>20</v>
      </c>
      <c r="O206" s="308"/>
      <c r="P206" s="308"/>
      <c r="Q206" s="308"/>
      <c r="R206" s="308"/>
      <c r="S206" s="308"/>
      <c r="T206" s="308"/>
      <c r="U206" s="308"/>
      <c r="V206" s="308"/>
      <c r="W206" s="308"/>
      <c r="X206" s="308"/>
      <c r="Y206" s="197"/>
    </row>
    <row r="207" spans="2:25" ht="15" customHeight="1">
      <c r="B207" s="338"/>
      <c r="C207" s="215"/>
      <c r="D207" s="66"/>
      <c r="E207" s="67" t="str">
        <f t="shared" si="127"/>
        <v/>
      </c>
      <c r="F207" s="356"/>
      <c r="G207" s="345" t="str">
        <f t="shared" si="132"/>
        <v/>
      </c>
      <c r="H207" s="345" t="str">
        <f t="shared" si="133"/>
        <v/>
      </c>
      <c r="I207" s="345" t="str">
        <f t="shared" si="126"/>
        <v/>
      </c>
      <c r="J207" s="357"/>
      <c r="K207" s="356"/>
      <c r="L207" s="359" t="str">
        <f t="shared" si="128"/>
        <v/>
      </c>
      <c r="M207" s="360"/>
      <c r="N207" s="349" t="str">
        <f t="shared" si="129"/>
        <v/>
      </c>
      <c r="O207" s="308"/>
      <c r="P207" s="308"/>
      <c r="Q207" s="312"/>
      <c r="R207" s="308"/>
      <c r="S207" s="308"/>
      <c r="T207" s="308"/>
      <c r="U207" s="308"/>
      <c r="V207" s="308"/>
      <c r="W207" s="308"/>
      <c r="X207" s="308"/>
      <c r="Y207" s="197"/>
    </row>
    <row r="208" spans="2:25" ht="15" customHeight="1">
      <c r="M208" s="308"/>
      <c r="N208" s="308"/>
      <c r="O208" s="312"/>
      <c r="P208" s="308"/>
      <c r="Q208" s="308"/>
      <c r="R208" s="308"/>
      <c r="S208" s="308"/>
      <c r="T208" s="308"/>
      <c r="U208" s="308"/>
      <c r="V208" s="308"/>
      <c r="W208" s="308"/>
      <c r="X208" s="308"/>
      <c r="Y208" s="197"/>
    </row>
    <row r="209" spans="2:25" ht="15" customHeight="1">
      <c r="B209" s="545" t="s">
        <v>125</v>
      </c>
      <c r="C209" s="546"/>
      <c r="D209" s="547"/>
      <c r="E209" s="551">
        <f>SUM(E211:E219)</f>
        <v>0</v>
      </c>
      <c r="F209" s="552"/>
      <c r="G209" s="322"/>
      <c r="H209" s="220"/>
      <c r="I209" s="342" t="str">
        <f t="shared" si="123"/>
        <v/>
      </c>
      <c r="J209" s="699">
        <f>SUM(N211:N219)</f>
        <v>679.13</v>
      </c>
      <c r="K209" s="699"/>
      <c r="L209" s="700"/>
      <c r="M209" s="559">
        <f>SUM(E209,J209)</f>
        <v>679.13</v>
      </c>
      <c r="N209" s="560"/>
      <c r="O209" s="308"/>
      <c r="P209" s="308"/>
      <c r="Q209" s="308"/>
      <c r="R209" s="308"/>
      <c r="S209" s="308"/>
      <c r="T209" s="308"/>
      <c r="U209" s="308"/>
      <c r="V209" s="308"/>
      <c r="W209" s="308"/>
      <c r="X209" s="308"/>
      <c r="Y209" s="197"/>
    </row>
    <row r="210" spans="2:25" ht="15" customHeight="1">
      <c r="B210" s="548"/>
      <c r="C210" s="549"/>
      <c r="D210" s="550"/>
      <c r="E210" s="553"/>
      <c r="F210" s="554"/>
      <c r="G210" s="323"/>
      <c r="H210" s="222"/>
      <c r="I210" s="346" t="str">
        <f t="shared" si="123"/>
        <v/>
      </c>
      <c r="J210" s="701"/>
      <c r="K210" s="701"/>
      <c r="L210" s="702"/>
      <c r="M210" s="561"/>
      <c r="N210" s="562"/>
      <c r="O210" s="308"/>
      <c r="P210" s="308"/>
      <c r="Q210" s="308"/>
      <c r="R210" s="308"/>
      <c r="S210" s="308"/>
      <c r="T210" s="308"/>
      <c r="U210" s="308"/>
      <c r="V210" s="308"/>
      <c r="W210" s="308"/>
      <c r="X210" s="308"/>
      <c r="Y210" s="197"/>
    </row>
    <row r="211" spans="2:25" ht="15" customHeight="1">
      <c r="B211" s="337">
        <v>593.15</v>
      </c>
      <c r="C211" s="191">
        <v>46276</v>
      </c>
      <c r="D211" s="74" t="s">
        <v>278</v>
      </c>
      <c r="E211" s="58" t="str">
        <f t="shared" ref="E211:E212" si="134">IF(OR(B211="",F211="Pago"),"",B211)</f>
        <v/>
      </c>
      <c r="F211" s="351" t="s">
        <v>2</v>
      </c>
      <c r="G211" s="343">
        <f t="shared" ref="G211:G212" si="135">IF(B211="","",B211+C211)</f>
        <v>46869.15</v>
      </c>
      <c r="H211" s="343">
        <f t="shared" ref="H211:H212" si="136">IFERROR(VLOOKUP(G211,$Z$5:$Z$174,1,0),"")</f>
        <v>46869.15</v>
      </c>
      <c r="I211" s="343" t="str">
        <f t="shared" ref="I211:I212" si="137">IF(OR(G211&lt;&gt;"",H211&lt;&gt;""),"FLAVIA","")</f>
        <v>FLAVIA</v>
      </c>
      <c r="J211" s="383" t="s">
        <v>89</v>
      </c>
      <c r="K211" s="351" t="s">
        <v>90</v>
      </c>
      <c r="L211" s="384" t="str">
        <f t="shared" ref="L211:L213" si="138">IF(K211="AV","8",IF(AND(G211="",H211=""),"",IF(G211=H211,"P",IF(G211&lt;&gt;H211,"O"))))</f>
        <v>P</v>
      </c>
      <c r="M211" s="353" t="s">
        <v>279</v>
      </c>
      <c r="N211" s="348">
        <f t="shared" ref="N211:N213" si="139">IF(F211="Pago",B211,"")</f>
        <v>593.15</v>
      </c>
      <c r="O211" s="308"/>
      <c r="P211" s="308"/>
      <c r="Q211" s="308"/>
      <c r="R211" s="308"/>
      <c r="S211" s="308"/>
      <c r="T211" s="308"/>
      <c r="U211" s="308"/>
      <c r="V211" s="308"/>
      <c r="W211" s="308"/>
      <c r="X211" s="308"/>
      <c r="Y211" s="197"/>
    </row>
    <row r="212" spans="2:25" ht="15" customHeight="1">
      <c r="B212" s="337">
        <v>50.98</v>
      </c>
      <c r="C212" s="191">
        <v>46285</v>
      </c>
      <c r="D212" s="74" t="s">
        <v>297</v>
      </c>
      <c r="E212" s="58" t="str">
        <f t="shared" si="134"/>
        <v/>
      </c>
      <c r="F212" s="351" t="s">
        <v>2</v>
      </c>
      <c r="G212" s="343">
        <f t="shared" si="135"/>
        <v>46335.98</v>
      </c>
      <c r="H212" s="343">
        <f t="shared" si="136"/>
        <v>46335.98</v>
      </c>
      <c r="I212" s="343" t="str">
        <f t="shared" si="137"/>
        <v>FLAVIA</v>
      </c>
      <c r="J212" s="383" t="s">
        <v>89</v>
      </c>
      <c r="K212" s="351" t="s">
        <v>90</v>
      </c>
      <c r="L212" s="384" t="str">
        <f t="shared" si="138"/>
        <v>P</v>
      </c>
      <c r="M212" s="354"/>
      <c r="N212" s="348">
        <f t="shared" si="139"/>
        <v>50.98</v>
      </c>
      <c r="O212" s="308"/>
      <c r="P212" s="308"/>
      <c r="Q212" s="308"/>
      <c r="R212" s="308"/>
      <c r="S212" s="308"/>
      <c r="T212" s="308"/>
      <c r="U212" s="308"/>
      <c r="V212" s="308"/>
      <c r="W212" s="308"/>
      <c r="X212" s="308"/>
      <c r="Y212" s="197"/>
    </row>
    <row r="213" spans="2:25" ht="15" customHeight="1">
      <c r="B213" s="337">
        <v>35</v>
      </c>
      <c r="C213" s="191">
        <v>46308</v>
      </c>
      <c r="D213" s="74" t="s">
        <v>420</v>
      </c>
      <c r="E213" s="58"/>
      <c r="F213" s="351" t="s">
        <v>2</v>
      </c>
      <c r="G213" s="343"/>
      <c r="H213" s="343"/>
      <c r="I213" s="343"/>
      <c r="J213" s="383" t="s">
        <v>89</v>
      </c>
      <c r="K213" s="351" t="s">
        <v>118</v>
      </c>
      <c r="L213" s="384" t="str">
        <f t="shared" si="138"/>
        <v>8</v>
      </c>
      <c r="M213" s="354"/>
      <c r="N213" s="348">
        <f t="shared" si="139"/>
        <v>35</v>
      </c>
      <c r="O213" s="308"/>
      <c r="P213" s="308"/>
      <c r="Q213" s="308"/>
      <c r="R213" s="308"/>
      <c r="S213" s="308"/>
      <c r="T213" s="308"/>
      <c r="U213" s="308"/>
      <c r="V213" s="308"/>
      <c r="W213" s="308"/>
      <c r="X213" s="308"/>
      <c r="Y213" s="197"/>
    </row>
    <row r="214" spans="2:25" ht="15" customHeight="1">
      <c r="B214" s="337"/>
      <c r="C214" s="191"/>
      <c r="D214" s="74"/>
      <c r="E214" s="58" t="str">
        <f t="shared" ref="E214:E215" si="140">IF(OR(B214="",F214="Pago"),"",B214)</f>
        <v/>
      </c>
      <c r="F214" s="351"/>
      <c r="G214" s="343" t="str">
        <f t="shared" ref="G214:G219" si="141">IF(B214="","",B214+C214)</f>
        <v/>
      </c>
      <c r="H214" s="343" t="str">
        <f t="shared" ref="H214:H219" si="142">IFERROR(VLOOKUP(G214,$Z$5:$Z$174,1,0),"")</f>
        <v/>
      </c>
      <c r="I214" s="343" t="str">
        <f t="shared" ref="I214:I219" si="143">IF(OR(G214&lt;&gt;"",H214&lt;&gt;""),"FLAVIA","")</f>
        <v/>
      </c>
      <c r="J214" s="383"/>
      <c r="K214" s="351"/>
      <c r="L214" s="384" t="str">
        <f t="shared" ref="L214:L215" si="144">IF(K214="AV","8",IF(AND(G214="",H214=""),"",IF(G214=H214,"P",IF(G214&lt;&gt;H214,"O"))))</f>
        <v/>
      </c>
      <c r="M214" s="354"/>
      <c r="N214" s="348" t="str">
        <f t="shared" ref="N214:N215" si="145">IF(F214="Pago",B214,"")</f>
        <v/>
      </c>
      <c r="O214" s="308"/>
      <c r="P214" s="308"/>
      <c r="Q214" s="308"/>
      <c r="R214" s="308"/>
      <c r="S214" s="308"/>
      <c r="T214" s="308"/>
      <c r="U214" s="308"/>
      <c r="V214" s="308"/>
      <c r="W214" s="308"/>
      <c r="X214" s="308"/>
      <c r="Y214" s="197"/>
    </row>
    <row r="215" spans="2:25" ht="15" customHeight="1">
      <c r="B215" s="337"/>
      <c r="C215" s="191"/>
      <c r="D215" s="74"/>
      <c r="E215" s="58" t="str">
        <f t="shared" si="140"/>
        <v/>
      </c>
      <c r="F215" s="351"/>
      <c r="G215" s="343" t="str">
        <f t="shared" si="141"/>
        <v/>
      </c>
      <c r="H215" s="343" t="str">
        <f t="shared" si="142"/>
        <v/>
      </c>
      <c r="I215" s="343" t="str">
        <f t="shared" si="143"/>
        <v/>
      </c>
      <c r="J215" s="383"/>
      <c r="K215" s="351"/>
      <c r="L215" s="384" t="str">
        <f t="shared" si="144"/>
        <v/>
      </c>
      <c r="M215" s="354"/>
      <c r="N215" s="348" t="str">
        <f t="shared" si="145"/>
        <v/>
      </c>
      <c r="O215" s="308"/>
      <c r="P215" s="308"/>
      <c r="Q215" s="308"/>
      <c r="R215" s="308"/>
      <c r="S215" s="308"/>
      <c r="T215" s="308"/>
      <c r="U215" s="308"/>
      <c r="V215" s="308"/>
      <c r="W215" s="308"/>
      <c r="X215" s="308"/>
      <c r="Y215" s="197"/>
    </row>
    <row r="216" spans="2:25" ht="15" customHeight="1">
      <c r="B216" s="337"/>
      <c r="C216" s="191"/>
      <c r="D216" s="74"/>
      <c r="E216" s="58" t="str">
        <f t="shared" ref="E216" si="146">IF(OR(B216="",F216="Pago"),"",B216)</f>
        <v/>
      </c>
      <c r="F216" s="351"/>
      <c r="G216" s="343" t="str">
        <f t="shared" si="141"/>
        <v/>
      </c>
      <c r="H216" s="343" t="str">
        <f t="shared" si="142"/>
        <v/>
      </c>
      <c r="I216" s="343" t="str">
        <f t="shared" si="143"/>
        <v/>
      </c>
      <c r="J216" s="383"/>
      <c r="K216" s="351"/>
      <c r="L216" s="384" t="str">
        <f t="shared" ref="L216" si="147">IF(K216="AV","8",IF(AND(G216="",H216=""),"",IF(G216=H216,"P",IF(G216&lt;&gt;H216,"O"))))</f>
        <v/>
      </c>
      <c r="M216" s="354"/>
      <c r="N216" s="348" t="str">
        <f t="shared" ref="N216" si="148">IF(F216="Pago",B216,"")</f>
        <v/>
      </c>
      <c r="O216" s="308"/>
      <c r="P216" s="308"/>
      <c r="Q216" s="308"/>
      <c r="R216" s="308"/>
      <c r="S216" s="308"/>
      <c r="T216" s="308"/>
      <c r="U216" s="308"/>
      <c r="V216" s="308"/>
      <c r="W216" s="308"/>
      <c r="X216" s="308"/>
      <c r="Y216" s="197"/>
    </row>
    <row r="217" spans="2:25" ht="15" customHeight="1">
      <c r="B217" s="337"/>
      <c r="C217" s="191"/>
      <c r="D217" s="74"/>
      <c r="E217" s="58" t="str">
        <f>IF(OR(B217="",F217="Pago"),"",B217)</f>
        <v/>
      </c>
      <c r="F217" s="351"/>
      <c r="G217" s="343" t="str">
        <f t="shared" si="141"/>
        <v/>
      </c>
      <c r="H217" s="343" t="str">
        <f t="shared" si="142"/>
        <v/>
      </c>
      <c r="I217" s="343" t="str">
        <f t="shared" si="143"/>
        <v/>
      </c>
      <c r="J217" s="383"/>
      <c r="K217" s="351"/>
      <c r="L217" s="384" t="str">
        <f>IF(K217="AV","8",IF(AND(G217="",H217=""),"",IF(G217=H217,"P",IF(G217&lt;&gt;H217,"O"))))</f>
        <v/>
      </c>
      <c r="M217" s="354"/>
      <c r="N217" s="348" t="str">
        <f>IF(F217="Pago",B217,"")</f>
        <v/>
      </c>
      <c r="O217" s="312"/>
      <c r="P217" s="308"/>
      <c r="Q217" s="308"/>
      <c r="R217" s="308"/>
      <c r="S217" s="308"/>
      <c r="T217" s="308"/>
      <c r="U217" s="308"/>
      <c r="V217" s="308"/>
      <c r="W217" s="308"/>
      <c r="X217" s="308"/>
      <c r="Y217" s="197"/>
    </row>
    <row r="218" spans="2:25" ht="15" customHeight="1">
      <c r="B218" s="337"/>
      <c r="C218" s="191"/>
      <c r="D218" s="74"/>
      <c r="E218" s="58" t="str">
        <f>IF(OR(B218="",F218="Pago"),"",B218)</f>
        <v/>
      </c>
      <c r="F218" s="351"/>
      <c r="G218" s="343" t="str">
        <f t="shared" si="141"/>
        <v/>
      </c>
      <c r="H218" s="343" t="str">
        <f t="shared" si="142"/>
        <v/>
      </c>
      <c r="I218" s="343" t="str">
        <f t="shared" si="143"/>
        <v/>
      </c>
      <c r="J218" s="383"/>
      <c r="K218" s="351"/>
      <c r="L218" s="384" t="str">
        <f>IF(K218="AV","8",IF(AND(G218="",H218=""),"",IF(G218=H218,"P",IF(G218&lt;&gt;H218,"O"))))</f>
        <v/>
      </c>
      <c r="M218" s="355"/>
      <c r="N218" s="348" t="str">
        <f>IF(F218="Pago",B218,"")</f>
        <v/>
      </c>
      <c r="O218" s="312"/>
      <c r="P218" s="308"/>
      <c r="Q218" s="308"/>
      <c r="R218" s="308"/>
      <c r="S218" s="308"/>
      <c r="T218" s="308"/>
      <c r="U218" s="308"/>
      <c r="V218" s="308"/>
      <c r="W218" s="308"/>
      <c r="X218" s="308"/>
      <c r="Y218" s="197"/>
    </row>
    <row r="219" spans="2:25" ht="15" customHeight="1">
      <c r="B219" s="338"/>
      <c r="C219" s="215"/>
      <c r="D219" s="76"/>
      <c r="E219" s="67" t="str">
        <f>IF(OR(B219="",F219="Pago"),"",B219)</f>
        <v/>
      </c>
      <c r="F219" s="356"/>
      <c r="G219" s="345" t="str">
        <f t="shared" si="141"/>
        <v/>
      </c>
      <c r="H219" s="345" t="str">
        <f t="shared" si="142"/>
        <v/>
      </c>
      <c r="I219" s="345" t="str">
        <f t="shared" si="143"/>
        <v/>
      </c>
      <c r="J219" s="357"/>
      <c r="K219" s="356"/>
      <c r="L219" s="359" t="str">
        <f>IF(K219="AV","8",IF(AND(G219="",H219=""),"",IF(G219=H219,"P",IF(G219&lt;&gt;H219,"O"))))</f>
        <v/>
      </c>
      <c r="M219" s="360"/>
      <c r="N219" s="349" t="str">
        <f>IF(F219="Pago",B219,"")</f>
        <v/>
      </c>
      <c r="O219" s="308"/>
      <c r="P219" s="308"/>
      <c r="Q219" s="308"/>
      <c r="R219" s="308"/>
      <c r="S219" s="308"/>
      <c r="T219" s="308"/>
      <c r="U219" s="308"/>
      <c r="V219" s="308"/>
      <c r="W219" s="308"/>
      <c r="X219" s="308"/>
      <c r="Y219" s="197"/>
    </row>
    <row r="220" spans="2:25" ht="15" customHeight="1">
      <c r="B220" s="308"/>
      <c r="C220" s="308"/>
      <c r="D220" s="308"/>
      <c r="E220" s="308"/>
      <c r="F220" s="308"/>
      <c r="G220" s="308"/>
      <c r="H220" s="308"/>
      <c r="I220" s="308"/>
      <c r="J220" s="308"/>
      <c r="K220" s="308"/>
      <c r="L220" s="308"/>
      <c r="M220" s="308"/>
      <c r="N220" s="308"/>
      <c r="O220" s="308"/>
      <c r="P220" s="308"/>
      <c r="Q220" s="308"/>
      <c r="R220" s="308"/>
      <c r="S220" s="308"/>
      <c r="T220" s="308"/>
      <c r="U220" s="308"/>
      <c r="V220" s="308"/>
      <c r="W220" s="308"/>
      <c r="X220" s="308"/>
      <c r="Y220" s="197"/>
    </row>
    <row r="221" spans="2:25" ht="15" customHeight="1">
      <c r="B221" s="545" t="s">
        <v>122</v>
      </c>
      <c r="C221" s="546"/>
      <c r="D221" s="547"/>
      <c r="E221" s="551">
        <f>SUM(E223:E260)</f>
        <v>517</v>
      </c>
      <c r="F221" s="552"/>
      <c r="G221" s="322"/>
      <c r="H221" s="220"/>
      <c r="I221" s="342" t="str">
        <f t="shared" si="123"/>
        <v/>
      </c>
      <c r="J221" s="699">
        <f>SUM(N223:N260)</f>
        <v>1478.8999999999999</v>
      </c>
      <c r="K221" s="699"/>
      <c r="L221" s="700"/>
      <c r="M221" s="559">
        <f>SUM(E221,J221)</f>
        <v>1995.8999999999999</v>
      </c>
      <c r="N221" s="560"/>
      <c r="O221" s="308"/>
      <c r="P221" s="308"/>
      <c r="Q221" s="308"/>
      <c r="R221" s="308"/>
      <c r="S221" s="308"/>
      <c r="T221" s="308"/>
      <c r="U221" s="308"/>
      <c r="V221" s="308"/>
      <c r="W221" s="308"/>
      <c r="X221" s="308"/>
      <c r="Y221" s="197"/>
    </row>
    <row r="222" spans="2:25" ht="15" customHeight="1">
      <c r="B222" s="548"/>
      <c r="C222" s="549"/>
      <c r="D222" s="550"/>
      <c r="E222" s="553"/>
      <c r="F222" s="554"/>
      <c r="G222" s="323"/>
      <c r="H222" s="222"/>
      <c r="I222" s="346" t="str">
        <f t="shared" si="123"/>
        <v/>
      </c>
      <c r="J222" s="701"/>
      <c r="K222" s="701"/>
      <c r="L222" s="702"/>
      <c r="M222" s="561"/>
      <c r="N222" s="562"/>
      <c r="O222" s="308"/>
      <c r="P222" s="308"/>
      <c r="Q222" s="308"/>
      <c r="R222" s="308"/>
      <c r="S222" s="308"/>
      <c r="T222" s="308"/>
      <c r="U222" s="308"/>
      <c r="V222" s="308"/>
      <c r="W222" s="308"/>
      <c r="X222" s="308"/>
      <c r="Y222" s="197"/>
    </row>
    <row r="223" spans="2:25" ht="15" customHeight="1">
      <c r="B223" s="337">
        <v>89.9</v>
      </c>
      <c r="C223" s="191">
        <v>46272</v>
      </c>
      <c r="D223" s="406" t="s">
        <v>146</v>
      </c>
      <c r="E223" s="58" t="str">
        <f>IF(OR(B223="",F223="Pago"),"",B223)</f>
        <v/>
      </c>
      <c r="F223" s="385" t="s">
        <v>2</v>
      </c>
      <c r="G223" s="343">
        <f t="shared" ref="G223:G234" si="149">IF(B223="","",B223+C223)</f>
        <v>46361.9</v>
      </c>
      <c r="H223" s="343" t="str">
        <f t="shared" ref="H223:H234" si="150">IFERROR(VLOOKUP(G223,$Z$5:$Z$174,1,0),"")</f>
        <v/>
      </c>
      <c r="I223" s="343" t="str">
        <f>IF(OR(G223&lt;&gt;"",H223&lt;&gt;""),"GUTO","")</f>
        <v>GUTO</v>
      </c>
      <c r="J223" s="383" t="s">
        <v>89</v>
      </c>
      <c r="K223" s="385" t="s">
        <v>118</v>
      </c>
      <c r="L223" s="384" t="str">
        <f t="shared" ref="L223:L244" si="151">IF(K223="AV","8",IF(AND(G223="",H223=""),"",IF(G223=H223,"P",IF(G223&lt;&gt;H223,"O"))))</f>
        <v>8</v>
      </c>
      <c r="M223" s="350" t="s">
        <v>245</v>
      </c>
      <c r="N223" s="347">
        <f>IF(F223="Pago",B223,"")</f>
        <v>89.9</v>
      </c>
      <c r="O223" s="308"/>
      <c r="P223" s="308"/>
      <c r="Q223" s="308"/>
      <c r="R223" s="308"/>
      <c r="S223" s="308"/>
      <c r="T223" s="308"/>
      <c r="U223" s="308"/>
      <c r="V223" s="308"/>
      <c r="W223" s="308"/>
      <c r="X223" s="308"/>
      <c r="Y223" s="197"/>
    </row>
    <row r="224" spans="2:25" ht="15" customHeight="1">
      <c r="B224" s="337">
        <v>85.98</v>
      </c>
      <c r="C224" s="191">
        <v>46260</v>
      </c>
      <c r="D224" s="190" t="s">
        <v>282</v>
      </c>
      <c r="E224" s="58" t="str">
        <f t="shared" ref="E224:E241" si="152">IF(OR(B224="",F224="Pago"),"",B224)</f>
        <v/>
      </c>
      <c r="F224" s="351" t="s">
        <v>2</v>
      </c>
      <c r="G224" s="343">
        <f t="shared" si="149"/>
        <v>46345.98</v>
      </c>
      <c r="H224" s="343">
        <f t="shared" si="150"/>
        <v>46345.98</v>
      </c>
      <c r="I224" s="343" t="str">
        <f t="shared" ref="I224:I244" si="153">IF(OR(G224&lt;&gt;"",H224&lt;&gt;""),"GUTO","")</f>
        <v>GUTO</v>
      </c>
      <c r="J224" s="383" t="s">
        <v>94</v>
      </c>
      <c r="K224" s="351" t="s">
        <v>8</v>
      </c>
      <c r="L224" s="384" t="str">
        <f t="shared" si="151"/>
        <v>P</v>
      </c>
      <c r="M224" s="352" t="s">
        <v>280</v>
      </c>
      <c r="N224" s="348">
        <f t="shared" ref="N224:N243" si="154">IF(F224="Pago",B224,"")</f>
        <v>85.98</v>
      </c>
      <c r="O224" s="308"/>
      <c r="P224" s="308"/>
      <c r="Q224" s="308"/>
      <c r="R224" s="308"/>
      <c r="S224" s="308"/>
      <c r="T224" s="308"/>
      <c r="U224" s="308"/>
      <c r="V224" s="308"/>
      <c r="W224" s="308"/>
      <c r="X224" s="308"/>
      <c r="Y224" s="197"/>
    </row>
    <row r="225" spans="2:25" ht="15" customHeight="1">
      <c r="B225" s="337">
        <v>352</v>
      </c>
      <c r="C225" s="191">
        <v>46118</v>
      </c>
      <c r="D225" s="184" t="s">
        <v>113</v>
      </c>
      <c r="E225" s="58" t="str">
        <f t="shared" si="152"/>
        <v/>
      </c>
      <c r="F225" s="351" t="s">
        <v>2</v>
      </c>
      <c r="G225" s="343">
        <f t="shared" si="149"/>
        <v>46470</v>
      </c>
      <c r="H225" s="343">
        <f t="shared" si="150"/>
        <v>46470</v>
      </c>
      <c r="I225" s="343" t="str">
        <f t="shared" si="153"/>
        <v>GUTO</v>
      </c>
      <c r="J225" s="383" t="s">
        <v>94</v>
      </c>
      <c r="K225" s="351" t="s">
        <v>95</v>
      </c>
      <c r="L225" s="384" t="str">
        <f t="shared" si="151"/>
        <v>P</v>
      </c>
      <c r="M225" s="352" t="s">
        <v>246</v>
      </c>
      <c r="N225" s="348">
        <f t="shared" si="154"/>
        <v>352</v>
      </c>
      <c r="O225" s="308"/>
      <c r="P225" s="308"/>
      <c r="Q225" s="308"/>
      <c r="R225" s="308"/>
      <c r="S225" s="308"/>
      <c r="T225" s="308"/>
      <c r="U225" s="308"/>
      <c r="V225" s="308"/>
      <c r="W225" s="308"/>
      <c r="X225" s="308"/>
      <c r="Y225" s="197"/>
    </row>
    <row r="226" spans="2:25" ht="15" customHeight="1">
      <c r="B226" s="337">
        <v>146.65</v>
      </c>
      <c r="C226" s="191">
        <v>46305</v>
      </c>
      <c r="D226" s="184" t="s">
        <v>131</v>
      </c>
      <c r="E226" s="58" t="str">
        <f t="shared" si="152"/>
        <v/>
      </c>
      <c r="F226" s="351" t="s">
        <v>2</v>
      </c>
      <c r="G226" s="343">
        <f t="shared" si="149"/>
        <v>46451.65</v>
      </c>
      <c r="H226" s="343" t="str">
        <f t="shared" si="150"/>
        <v/>
      </c>
      <c r="I226" s="343" t="str">
        <f t="shared" si="153"/>
        <v>GUTO</v>
      </c>
      <c r="J226" s="383" t="s">
        <v>94</v>
      </c>
      <c r="K226" s="351" t="s">
        <v>118</v>
      </c>
      <c r="L226" s="384" t="str">
        <f t="shared" si="151"/>
        <v>8</v>
      </c>
      <c r="M226" s="352" t="s">
        <v>247</v>
      </c>
      <c r="N226" s="348">
        <f t="shared" si="154"/>
        <v>146.65</v>
      </c>
      <c r="O226" s="308"/>
      <c r="P226" s="308"/>
      <c r="Q226" s="308"/>
      <c r="R226" s="308"/>
      <c r="S226" s="308"/>
      <c r="T226" s="308"/>
      <c r="U226" s="308"/>
      <c r="V226" s="308"/>
      <c r="W226" s="308"/>
      <c r="X226" s="308"/>
      <c r="Y226" s="197"/>
    </row>
    <row r="227" spans="2:25" ht="15" customHeight="1">
      <c r="B227" s="337">
        <v>47.13</v>
      </c>
      <c r="C227" s="191">
        <v>46305</v>
      </c>
      <c r="D227" s="184" t="s">
        <v>130</v>
      </c>
      <c r="E227" s="58" t="str">
        <f t="shared" si="152"/>
        <v/>
      </c>
      <c r="F227" s="351" t="s">
        <v>2</v>
      </c>
      <c r="G227" s="343">
        <f t="shared" si="149"/>
        <v>46352.13</v>
      </c>
      <c r="H227" s="343" t="str">
        <f t="shared" si="150"/>
        <v/>
      </c>
      <c r="I227" s="343" t="str">
        <f t="shared" si="153"/>
        <v>GUTO</v>
      </c>
      <c r="J227" s="383" t="s">
        <v>94</v>
      </c>
      <c r="K227" s="351" t="s">
        <v>118</v>
      </c>
      <c r="L227" s="384" t="str">
        <f t="shared" si="151"/>
        <v>8</v>
      </c>
      <c r="M227" s="352" t="s">
        <v>247</v>
      </c>
      <c r="N227" s="348">
        <f t="shared" si="154"/>
        <v>47.13</v>
      </c>
      <c r="O227" s="308"/>
      <c r="P227" s="308"/>
      <c r="Q227" s="308"/>
      <c r="R227" s="308"/>
      <c r="S227" s="308"/>
      <c r="T227" s="308"/>
      <c r="U227" s="308"/>
      <c r="V227" s="308"/>
      <c r="W227" s="308"/>
      <c r="X227" s="308"/>
      <c r="Y227" s="197"/>
    </row>
    <row r="228" spans="2:25" ht="15" customHeight="1">
      <c r="B228" s="337">
        <v>190</v>
      </c>
      <c r="C228" s="191">
        <v>46190</v>
      </c>
      <c r="D228" s="184" t="s">
        <v>150</v>
      </c>
      <c r="E228" s="58" t="str">
        <f t="shared" si="152"/>
        <v/>
      </c>
      <c r="F228" s="351" t="s">
        <v>2</v>
      </c>
      <c r="G228" s="343">
        <f t="shared" si="149"/>
        <v>46380</v>
      </c>
      <c r="H228" s="343">
        <f t="shared" si="150"/>
        <v>46380</v>
      </c>
      <c r="I228" s="343" t="str">
        <f t="shared" si="153"/>
        <v>GUTO</v>
      </c>
      <c r="J228" s="383" t="s">
        <v>94</v>
      </c>
      <c r="K228" s="351" t="s">
        <v>90</v>
      </c>
      <c r="L228" s="384" t="str">
        <f t="shared" si="151"/>
        <v>P</v>
      </c>
      <c r="M228" s="352" t="s">
        <v>248</v>
      </c>
      <c r="N228" s="348">
        <f t="shared" si="154"/>
        <v>190</v>
      </c>
      <c r="O228" s="308"/>
      <c r="P228" s="312"/>
      <c r="Q228" s="308"/>
      <c r="R228" s="308"/>
      <c r="S228" s="308"/>
      <c r="T228" s="308"/>
      <c r="U228" s="308"/>
      <c r="V228" s="308"/>
      <c r="W228" s="308"/>
      <c r="X228" s="308"/>
      <c r="Y228" s="197"/>
    </row>
    <row r="229" spans="2:25" ht="15" customHeight="1">
      <c r="B229" s="337">
        <v>75.58</v>
      </c>
      <c r="C229" s="191">
        <v>46251</v>
      </c>
      <c r="D229" s="184" t="s">
        <v>191</v>
      </c>
      <c r="E229" s="58" t="str">
        <f t="shared" si="152"/>
        <v/>
      </c>
      <c r="F229" s="351" t="s">
        <v>2</v>
      </c>
      <c r="G229" s="343">
        <f t="shared" si="149"/>
        <v>46326.58</v>
      </c>
      <c r="H229" s="343">
        <f t="shared" si="150"/>
        <v>46326.58</v>
      </c>
      <c r="I229" s="343" t="str">
        <f t="shared" si="153"/>
        <v>GUTO</v>
      </c>
      <c r="J229" s="383" t="s">
        <v>94</v>
      </c>
      <c r="K229" s="351" t="s">
        <v>90</v>
      </c>
      <c r="L229" s="384" t="str">
        <f t="shared" si="151"/>
        <v>P</v>
      </c>
      <c r="M229" s="353" t="s">
        <v>243</v>
      </c>
      <c r="N229" s="348">
        <f t="shared" si="154"/>
        <v>75.58</v>
      </c>
      <c r="O229" s="308"/>
      <c r="P229" s="308"/>
      <c r="Q229" s="308"/>
      <c r="R229" s="308"/>
      <c r="S229" s="308"/>
      <c r="T229" s="308"/>
      <c r="U229" s="308"/>
      <c r="V229" s="308"/>
      <c r="W229" s="308"/>
      <c r="X229" s="308"/>
      <c r="Y229" s="197"/>
    </row>
    <row r="230" spans="2:25" ht="15" customHeight="1">
      <c r="B230" s="337">
        <v>25</v>
      </c>
      <c r="C230" s="191">
        <v>46281</v>
      </c>
      <c r="D230" s="74" t="s">
        <v>277</v>
      </c>
      <c r="E230" s="58" t="str">
        <f t="shared" si="152"/>
        <v/>
      </c>
      <c r="F230" s="351" t="s">
        <v>2</v>
      </c>
      <c r="G230" s="343">
        <f t="shared" si="149"/>
        <v>46306</v>
      </c>
      <c r="H230" s="343">
        <f t="shared" si="150"/>
        <v>46306</v>
      </c>
      <c r="I230" s="343" t="str">
        <f t="shared" si="153"/>
        <v>GUTO</v>
      </c>
      <c r="J230" s="383" t="s">
        <v>94</v>
      </c>
      <c r="K230" s="351" t="s">
        <v>90</v>
      </c>
      <c r="L230" s="384" t="str">
        <f t="shared" si="151"/>
        <v>P</v>
      </c>
      <c r="M230" s="354"/>
      <c r="N230" s="348">
        <f t="shared" si="154"/>
        <v>25</v>
      </c>
      <c r="O230" s="308"/>
      <c r="P230" s="308"/>
      <c r="Q230" s="308"/>
      <c r="R230" s="308"/>
      <c r="S230" s="308"/>
      <c r="T230" s="308"/>
      <c r="U230" s="308"/>
      <c r="V230" s="308"/>
      <c r="W230" s="308"/>
      <c r="X230" s="308"/>
      <c r="Y230" s="197"/>
    </row>
    <row r="231" spans="2:25" ht="15" customHeight="1">
      <c r="B231" s="337">
        <v>42.45</v>
      </c>
      <c r="C231" s="191">
        <v>46279</v>
      </c>
      <c r="D231" s="74" t="s">
        <v>46</v>
      </c>
      <c r="E231" s="58" t="str">
        <f t="shared" si="152"/>
        <v/>
      </c>
      <c r="F231" s="351" t="s">
        <v>2</v>
      </c>
      <c r="G231" s="343">
        <f t="shared" si="149"/>
        <v>46321.45</v>
      </c>
      <c r="H231" s="343">
        <f t="shared" si="150"/>
        <v>46321.45</v>
      </c>
      <c r="I231" s="343" t="str">
        <f t="shared" si="153"/>
        <v>GUTO</v>
      </c>
      <c r="J231" s="383" t="s">
        <v>94</v>
      </c>
      <c r="K231" s="351" t="s">
        <v>90</v>
      </c>
      <c r="L231" s="384" t="str">
        <f t="shared" si="151"/>
        <v>P</v>
      </c>
      <c r="M231" s="354"/>
      <c r="N231" s="348">
        <f t="shared" si="154"/>
        <v>42.45</v>
      </c>
      <c r="O231" s="308"/>
      <c r="P231" s="308"/>
      <c r="Q231" s="308"/>
      <c r="R231" s="308"/>
      <c r="S231" s="308"/>
      <c r="T231" s="308"/>
      <c r="U231" s="308"/>
      <c r="V231" s="308"/>
      <c r="W231" s="308"/>
      <c r="X231" s="308"/>
      <c r="Y231" s="197"/>
    </row>
    <row r="232" spans="2:25" ht="15" customHeight="1">
      <c r="B232" s="337">
        <v>84.35</v>
      </c>
      <c r="C232" s="191">
        <v>46267</v>
      </c>
      <c r="D232" s="74" t="s">
        <v>226</v>
      </c>
      <c r="E232" s="58" t="str">
        <f t="shared" si="152"/>
        <v/>
      </c>
      <c r="F232" s="351" t="s">
        <v>2</v>
      </c>
      <c r="G232" s="343">
        <f t="shared" si="149"/>
        <v>46351.35</v>
      </c>
      <c r="H232" s="343">
        <f t="shared" si="150"/>
        <v>46351.35</v>
      </c>
      <c r="I232" s="343" t="str">
        <f t="shared" si="153"/>
        <v>GUTO</v>
      </c>
      <c r="J232" s="383" t="s">
        <v>98</v>
      </c>
      <c r="K232" s="351" t="s">
        <v>90</v>
      </c>
      <c r="L232" s="384" t="str">
        <f t="shared" si="151"/>
        <v>P</v>
      </c>
      <c r="M232" s="352" t="s">
        <v>280</v>
      </c>
      <c r="N232" s="348">
        <f t="shared" si="154"/>
        <v>84.35</v>
      </c>
      <c r="O232" s="308"/>
      <c r="P232" s="308"/>
      <c r="Q232" s="308"/>
      <c r="R232" s="308"/>
      <c r="S232" s="308"/>
      <c r="T232" s="308"/>
      <c r="U232" s="308"/>
      <c r="V232" s="308"/>
      <c r="W232" s="308"/>
      <c r="X232" s="308"/>
      <c r="Y232" s="197"/>
    </row>
    <row r="233" spans="2:25" ht="15" customHeight="1">
      <c r="B233" s="337">
        <v>39.39</v>
      </c>
      <c r="C233" s="191">
        <v>46287</v>
      </c>
      <c r="D233" s="74" t="s">
        <v>299</v>
      </c>
      <c r="E233" s="58" t="str">
        <f t="shared" si="152"/>
        <v/>
      </c>
      <c r="F233" s="351" t="s">
        <v>2</v>
      </c>
      <c r="G233" s="343">
        <f t="shared" si="149"/>
        <v>46326.39</v>
      </c>
      <c r="H233" s="343">
        <f t="shared" si="150"/>
        <v>46326.39</v>
      </c>
      <c r="I233" s="343" t="str">
        <f t="shared" si="153"/>
        <v>GUTO</v>
      </c>
      <c r="J233" s="383" t="s">
        <v>89</v>
      </c>
      <c r="K233" s="351" t="s">
        <v>8</v>
      </c>
      <c r="L233" s="384" t="str">
        <f t="shared" si="151"/>
        <v>P</v>
      </c>
      <c r="M233" s="354"/>
      <c r="N233" s="348">
        <f t="shared" si="154"/>
        <v>39.39</v>
      </c>
      <c r="O233" s="308"/>
      <c r="P233" s="308"/>
      <c r="Q233" s="308"/>
      <c r="R233" s="308"/>
      <c r="S233" s="308"/>
      <c r="T233" s="308"/>
      <c r="U233" s="308"/>
      <c r="V233" s="308"/>
      <c r="W233" s="308"/>
      <c r="X233" s="308"/>
      <c r="Y233" s="197"/>
    </row>
    <row r="234" spans="2:25" ht="15" customHeight="1">
      <c r="B234" s="337">
        <v>6.36</v>
      </c>
      <c r="C234" s="191">
        <v>46297</v>
      </c>
      <c r="D234" s="74" t="s">
        <v>49</v>
      </c>
      <c r="E234" s="58" t="str">
        <f t="shared" si="152"/>
        <v/>
      </c>
      <c r="F234" s="351" t="s">
        <v>2</v>
      </c>
      <c r="G234" s="343">
        <f t="shared" si="149"/>
        <v>46303.360000000001</v>
      </c>
      <c r="H234" s="343">
        <f t="shared" si="150"/>
        <v>46303.360000000001</v>
      </c>
      <c r="I234" s="343" t="str">
        <f t="shared" si="153"/>
        <v>GUTO</v>
      </c>
      <c r="J234" s="383" t="s">
        <v>94</v>
      </c>
      <c r="K234" s="351" t="s">
        <v>90</v>
      </c>
      <c r="L234" s="384" t="str">
        <f t="shared" si="151"/>
        <v>P</v>
      </c>
      <c r="M234" s="354"/>
      <c r="N234" s="348">
        <f t="shared" si="154"/>
        <v>6.36</v>
      </c>
      <c r="O234" s="308"/>
      <c r="P234" s="308"/>
      <c r="Q234" s="308"/>
      <c r="R234" s="308"/>
      <c r="S234" s="308"/>
      <c r="T234" s="308"/>
      <c r="U234" s="308"/>
      <c r="V234" s="308"/>
      <c r="W234" s="308"/>
      <c r="X234" s="308"/>
      <c r="Y234" s="197"/>
    </row>
    <row r="235" spans="2:25" ht="15" customHeight="1">
      <c r="B235" s="337">
        <v>125</v>
      </c>
      <c r="C235" s="191">
        <v>46296</v>
      </c>
      <c r="D235" s="74" t="s">
        <v>332</v>
      </c>
      <c r="E235" s="58" t="str">
        <f t="shared" si="152"/>
        <v/>
      </c>
      <c r="F235" s="351" t="s">
        <v>2</v>
      </c>
      <c r="G235" s="343">
        <f t="shared" ref="G235:G244" si="155">IF(B235="","",B235+C235)</f>
        <v>46421</v>
      </c>
      <c r="H235" s="343">
        <f t="shared" ref="H235:H244" si="156">IFERROR(VLOOKUP(G235,$Z$5:$Z$174,1,0),"")</f>
        <v>46421</v>
      </c>
      <c r="I235" s="343" t="str">
        <f t="shared" si="153"/>
        <v>GUTO</v>
      </c>
      <c r="J235" s="383" t="s">
        <v>94</v>
      </c>
      <c r="K235" s="351" t="s">
        <v>90</v>
      </c>
      <c r="L235" s="384" t="str">
        <f t="shared" si="151"/>
        <v>P</v>
      </c>
      <c r="M235" s="354" t="s">
        <v>265</v>
      </c>
      <c r="N235" s="348">
        <f t="shared" si="154"/>
        <v>125</v>
      </c>
      <c r="O235" s="308"/>
      <c r="P235" s="308"/>
      <c r="Q235" s="308"/>
      <c r="R235" s="308"/>
      <c r="S235" s="308"/>
      <c r="T235" s="308"/>
      <c r="U235" s="308"/>
      <c r="V235" s="308"/>
      <c r="W235" s="308"/>
      <c r="X235" s="308"/>
      <c r="Y235" s="197"/>
    </row>
    <row r="236" spans="2:25" ht="15" customHeight="1">
      <c r="B236" s="337">
        <v>29.56</v>
      </c>
      <c r="C236" s="191">
        <v>46298</v>
      </c>
      <c r="D236" s="74" t="s">
        <v>335</v>
      </c>
      <c r="E236" s="58" t="str">
        <f t="shared" si="152"/>
        <v/>
      </c>
      <c r="F236" s="351" t="s">
        <v>2</v>
      </c>
      <c r="G236" s="343">
        <f t="shared" si="155"/>
        <v>46327.56</v>
      </c>
      <c r="H236" s="343">
        <f t="shared" si="156"/>
        <v>46327.56</v>
      </c>
      <c r="I236" s="343" t="str">
        <f t="shared" si="153"/>
        <v>GUTO</v>
      </c>
      <c r="J236" s="383" t="s">
        <v>94</v>
      </c>
      <c r="K236" s="351" t="s">
        <v>90</v>
      </c>
      <c r="L236" s="384" t="str">
        <f t="shared" si="151"/>
        <v>P</v>
      </c>
      <c r="M236" s="354"/>
      <c r="N236" s="348">
        <f t="shared" si="154"/>
        <v>29.56</v>
      </c>
      <c r="O236" s="308"/>
      <c r="P236" s="308"/>
      <c r="Q236" s="308"/>
      <c r="R236" s="308"/>
      <c r="S236" s="308"/>
      <c r="T236" s="308"/>
      <c r="U236" s="308"/>
      <c r="V236" s="308"/>
      <c r="W236" s="308"/>
      <c r="X236" s="308"/>
      <c r="Y236" s="197"/>
    </row>
    <row r="237" spans="2:25" ht="15" customHeight="1">
      <c r="B237" s="337">
        <v>34</v>
      </c>
      <c r="C237" s="191">
        <v>46300</v>
      </c>
      <c r="D237" s="74" t="s">
        <v>371</v>
      </c>
      <c r="E237" s="58" t="str">
        <f t="shared" si="152"/>
        <v/>
      </c>
      <c r="F237" s="351" t="s">
        <v>2</v>
      </c>
      <c r="G237" s="343">
        <f t="shared" si="155"/>
        <v>46334</v>
      </c>
      <c r="H237" s="343" t="str">
        <f t="shared" si="156"/>
        <v/>
      </c>
      <c r="I237" s="343" t="str">
        <f t="shared" si="153"/>
        <v>GUTO</v>
      </c>
      <c r="J237" s="383" t="s">
        <v>94</v>
      </c>
      <c r="K237" s="351" t="s">
        <v>118</v>
      </c>
      <c r="L237" s="384" t="str">
        <f t="shared" si="151"/>
        <v>8</v>
      </c>
      <c r="M237" s="354"/>
      <c r="N237" s="348">
        <f t="shared" si="154"/>
        <v>34</v>
      </c>
      <c r="O237" s="308"/>
      <c r="P237" s="308"/>
      <c r="Q237" s="308"/>
      <c r="R237" s="308"/>
      <c r="S237" s="308"/>
      <c r="T237" s="308"/>
      <c r="U237" s="308"/>
      <c r="V237" s="308"/>
      <c r="W237" s="308"/>
      <c r="X237" s="308"/>
      <c r="Y237" s="197"/>
    </row>
    <row r="238" spans="2:25" ht="15" customHeight="1">
      <c r="B238" s="337">
        <v>150</v>
      </c>
      <c r="C238" s="191">
        <v>46302</v>
      </c>
      <c r="D238" s="428" t="s">
        <v>372</v>
      </c>
      <c r="E238" s="494">
        <f t="shared" si="152"/>
        <v>150</v>
      </c>
      <c r="F238" s="351" t="s">
        <v>135</v>
      </c>
      <c r="G238" s="343">
        <f t="shared" si="155"/>
        <v>46452</v>
      </c>
      <c r="H238" s="343" t="str">
        <f t="shared" si="156"/>
        <v/>
      </c>
      <c r="I238" s="343" t="str">
        <f t="shared" si="153"/>
        <v>GUTO</v>
      </c>
      <c r="J238" s="383" t="s">
        <v>94</v>
      </c>
      <c r="K238" s="351" t="s">
        <v>118</v>
      </c>
      <c r="L238" s="384" t="str">
        <f t="shared" si="151"/>
        <v>8</v>
      </c>
      <c r="M238" s="354" t="s">
        <v>373</v>
      </c>
      <c r="N238" s="348" t="str">
        <f t="shared" si="154"/>
        <v/>
      </c>
      <c r="O238" s="308"/>
      <c r="P238" s="308"/>
      <c r="Q238" s="308"/>
      <c r="R238" s="308"/>
      <c r="S238" s="308"/>
      <c r="T238" s="308"/>
      <c r="U238" s="308"/>
      <c r="V238" s="308"/>
      <c r="W238" s="308"/>
      <c r="X238" s="308"/>
      <c r="Y238" s="197"/>
    </row>
    <row r="239" spans="2:25" ht="15" customHeight="1">
      <c r="B239" s="337">
        <v>4.05</v>
      </c>
      <c r="C239" s="191">
        <v>46282</v>
      </c>
      <c r="D239" s="74" t="s">
        <v>49</v>
      </c>
      <c r="E239" s="58" t="str">
        <f t="shared" si="152"/>
        <v/>
      </c>
      <c r="F239" s="351" t="s">
        <v>2</v>
      </c>
      <c r="G239" s="343">
        <f t="shared" si="155"/>
        <v>46286.05</v>
      </c>
      <c r="H239" s="343">
        <f t="shared" si="156"/>
        <v>46286.05</v>
      </c>
      <c r="I239" s="343" t="str">
        <f t="shared" si="153"/>
        <v>GUTO</v>
      </c>
      <c r="J239" s="383" t="s">
        <v>94</v>
      </c>
      <c r="K239" s="351" t="s">
        <v>8</v>
      </c>
      <c r="L239" s="384" t="str">
        <f t="shared" si="151"/>
        <v>P</v>
      </c>
      <c r="M239" s="354"/>
      <c r="N239" s="348">
        <f t="shared" si="154"/>
        <v>4.05</v>
      </c>
      <c r="O239" s="308"/>
      <c r="P239" s="308"/>
      <c r="Q239" s="308"/>
      <c r="R239" s="308"/>
      <c r="S239" s="308"/>
      <c r="T239" s="308"/>
      <c r="U239" s="308"/>
      <c r="V239" s="308"/>
      <c r="W239" s="308"/>
      <c r="X239" s="308"/>
      <c r="Y239" s="197"/>
    </row>
    <row r="240" spans="2:25" ht="15" customHeight="1">
      <c r="B240" s="337">
        <v>10.5</v>
      </c>
      <c r="C240" s="191">
        <v>46296</v>
      </c>
      <c r="D240" s="74" t="s">
        <v>335</v>
      </c>
      <c r="E240" s="58" t="str">
        <f t="shared" si="152"/>
        <v/>
      </c>
      <c r="F240" s="351" t="s">
        <v>2</v>
      </c>
      <c r="G240" s="343">
        <f t="shared" si="155"/>
        <v>46306.5</v>
      </c>
      <c r="H240" s="343" t="str">
        <f t="shared" si="156"/>
        <v/>
      </c>
      <c r="I240" s="343" t="str">
        <f t="shared" si="153"/>
        <v>GUTO</v>
      </c>
      <c r="J240" s="383" t="s">
        <v>94</v>
      </c>
      <c r="K240" s="351" t="s">
        <v>118</v>
      </c>
      <c r="L240" s="384" t="str">
        <f t="shared" si="151"/>
        <v>8</v>
      </c>
      <c r="M240" s="354"/>
      <c r="N240" s="348">
        <f t="shared" si="154"/>
        <v>10.5</v>
      </c>
      <c r="O240" s="308"/>
      <c r="P240" s="308"/>
      <c r="Q240" s="308"/>
      <c r="R240" s="308"/>
      <c r="S240" s="308"/>
      <c r="T240" s="308"/>
      <c r="U240" s="308"/>
      <c r="V240" s="308"/>
      <c r="W240" s="308"/>
      <c r="X240" s="308"/>
      <c r="Y240" s="197"/>
    </row>
    <row r="241" spans="2:25" ht="15" customHeight="1">
      <c r="B241" s="337">
        <v>24</v>
      </c>
      <c r="C241" s="191">
        <v>46300</v>
      </c>
      <c r="D241" s="74" t="s">
        <v>383</v>
      </c>
      <c r="E241" s="58" t="str">
        <f t="shared" si="152"/>
        <v/>
      </c>
      <c r="F241" s="351" t="s">
        <v>2</v>
      </c>
      <c r="G241" s="343">
        <f t="shared" si="155"/>
        <v>46324</v>
      </c>
      <c r="H241" s="343" t="str">
        <f t="shared" si="156"/>
        <v/>
      </c>
      <c r="I241" s="343" t="str">
        <f t="shared" si="153"/>
        <v>GUTO</v>
      </c>
      <c r="J241" s="383" t="s">
        <v>94</v>
      </c>
      <c r="K241" s="351" t="s">
        <v>118</v>
      </c>
      <c r="L241" s="384" t="str">
        <f t="shared" si="151"/>
        <v>8</v>
      </c>
      <c r="M241" s="354"/>
      <c r="N241" s="348">
        <f t="shared" si="154"/>
        <v>24</v>
      </c>
      <c r="O241" s="308"/>
      <c r="P241" s="308"/>
      <c r="Q241" s="308"/>
      <c r="R241" s="308"/>
      <c r="S241" s="308"/>
      <c r="T241" s="308"/>
      <c r="U241" s="308"/>
      <c r="V241" s="308"/>
      <c r="W241" s="308"/>
      <c r="X241" s="308"/>
      <c r="Y241" s="197"/>
    </row>
    <row r="242" spans="2:25" ht="15" customHeight="1">
      <c r="B242" s="337">
        <v>27</v>
      </c>
      <c r="C242" s="191">
        <v>46304</v>
      </c>
      <c r="D242" s="74" t="s">
        <v>385</v>
      </c>
      <c r="E242" s="58"/>
      <c r="F242" s="351" t="s">
        <v>2</v>
      </c>
      <c r="G242" s="343">
        <f t="shared" si="155"/>
        <v>46331</v>
      </c>
      <c r="H242" s="343" t="str">
        <f t="shared" si="156"/>
        <v/>
      </c>
      <c r="I242" s="343" t="str">
        <f t="shared" si="153"/>
        <v>GUTO</v>
      </c>
      <c r="J242" s="383" t="s">
        <v>94</v>
      </c>
      <c r="K242" s="351" t="s">
        <v>118</v>
      </c>
      <c r="L242" s="384" t="str">
        <f t="shared" si="151"/>
        <v>8</v>
      </c>
      <c r="M242" s="355"/>
      <c r="N242" s="348">
        <f t="shared" si="154"/>
        <v>27</v>
      </c>
      <c r="O242" s="308"/>
      <c r="P242" s="308"/>
      <c r="Q242" s="308"/>
      <c r="R242" s="308"/>
      <c r="S242" s="308"/>
      <c r="T242" s="308"/>
      <c r="U242" s="308"/>
      <c r="V242" s="308"/>
      <c r="W242" s="308"/>
      <c r="X242" s="308"/>
      <c r="Y242" s="197"/>
    </row>
    <row r="243" spans="2:25" ht="15" customHeight="1">
      <c r="B243" s="337">
        <v>5</v>
      </c>
      <c r="C243" s="191">
        <v>46308</v>
      </c>
      <c r="D243" s="74" t="s">
        <v>396</v>
      </c>
      <c r="E243" s="58" t="str">
        <f t="shared" ref="E243:E244" si="157">IF(OR(B243="",F243="Pago"),"",B243)</f>
        <v/>
      </c>
      <c r="F243" s="351" t="s">
        <v>2</v>
      </c>
      <c r="G243" s="343">
        <f t="shared" si="155"/>
        <v>46313</v>
      </c>
      <c r="H243" s="343">
        <f t="shared" si="156"/>
        <v>46313</v>
      </c>
      <c r="I243" s="343" t="str">
        <f t="shared" si="153"/>
        <v>GUTO</v>
      </c>
      <c r="J243" s="387" t="s">
        <v>94</v>
      </c>
      <c r="K243" s="351" t="s">
        <v>118</v>
      </c>
      <c r="L243" s="384" t="str">
        <f t="shared" si="151"/>
        <v>8</v>
      </c>
      <c r="M243" s="443"/>
      <c r="N243" s="348">
        <f t="shared" si="154"/>
        <v>5</v>
      </c>
      <c r="O243" s="308"/>
      <c r="P243" s="308"/>
      <c r="Q243" s="308"/>
      <c r="R243" s="308"/>
      <c r="S243" s="308"/>
      <c r="T243" s="308"/>
      <c r="U243" s="308"/>
      <c r="V243" s="308"/>
      <c r="W243" s="308"/>
      <c r="X243" s="308"/>
      <c r="Y243" s="197"/>
    </row>
    <row r="244" spans="2:25" ht="15" customHeight="1">
      <c r="B244" s="337">
        <v>2068.7199999999998</v>
      </c>
      <c r="C244" s="191">
        <v>46314</v>
      </c>
      <c r="D244" s="428" t="s">
        <v>416</v>
      </c>
      <c r="E244" s="494" t="str">
        <f t="shared" si="157"/>
        <v/>
      </c>
      <c r="F244" s="351" t="s">
        <v>2</v>
      </c>
      <c r="G244" s="343">
        <f t="shared" si="155"/>
        <v>48382.720000000001</v>
      </c>
      <c r="H244" s="343" t="str">
        <f t="shared" si="156"/>
        <v/>
      </c>
      <c r="I244" s="343" t="str">
        <f t="shared" si="153"/>
        <v>GUTO</v>
      </c>
      <c r="J244" s="387" t="s">
        <v>94</v>
      </c>
      <c r="K244" s="351" t="s">
        <v>118</v>
      </c>
      <c r="L244" s="384" t="str">
        <f t="shared" si="151"/>
        <v>8</v>
      </c>
      <c r="M244" s="443"/>
      <c r="N244" s="348"/>
      <c r="O244" s="308"/>
      <c r="P244" s="308"/>
      <c r="Q244" s="308"/>
      <c r="R244" s="308"/>
      <c r="S244" s="308"/>
      <c r="T244" s="308"/>
      <c r="U244" s="308"/>
      <c r="V244" s="308"/>
      <c r="W244" s="308"/>
      <c r="X244" s="308"/>
      <c r="Y244" s="197"/>
    </row>
    <row r="245" spans="2:25" ht="15" customHeight="1">
      <c r="B245" s="337">
        <v>5</v>
      </c>
      <c r="C245" s="191">
        <v>46315</v>
      </c>
      <c r="D245" s="74" t="s">
        <v>422</v>
      </c>
      <c r="E245" s="58" t="str">
        <f t="shared" ref="E245:E260" si="158">IF(OR(B245="",F245="Pago"),"",B245)</f>
        <v/>
      </c>
      <c r="F245" s="351" t="s">
        <v>2</v>
      </c>
      <c r="G245" s="343">
        <f t="shared" ref="G245:G260" si="159">IF(B245="","",B245+C245)</f>
        <v>46320</v>
      </c>
      <c r="H245" s="343" t="str">
        <f t="shared" ref="H245:H260" si="160">IFERROR(VLOOKUP(G245,$Z$5:$Z$174,1,0),"")</f>
        <v/>
      </c>
      <c r="I245" s="343" t="str">
        <f t="shared" ref="I245:I260" si="161">IF(OR(G245&lt;&gt;"",H245&lt;&gt;""),"GUTO","")</f>
        <v>GUTO</v>
      </c>
      <c r="J245" s="387" t="s">
        <v>94</v>
      </c>
      <c r="K245" s="351" t="s">
        <v>118</v>
      </c>
      <c r="L245" s="384" t="str">
        <f t="shared" ref="L245:L260" si="162">IF(K245="AV","8",IF(AND(G245="",H245=""),"",IF(G245=H245,"P",IF(G245&lt;&gt;H245,"O"))))</f>
        <v>8</v>
      </c>
      <c r="M245" s="443"/>
      <c r="N245" s="348">
        <f t="shared" ref="N245:N260" si="163">IF(F245="Pago",B245,"")</f>
        <v>5</v>
      </c>
      <c r="O245" s="308"/>
      <c r="P245" s="308"/>
      <c r="Q245" s="308"/>
      <c r="R245" s="308"/>
      <c r="S245" s="308"/>
      <c r="T245" s="308"/>
      <c r="U245" s="308"/>
      <c r="V245" s="308"/>
      <c r="W245" s="308"/>
      <c r="X245" s="308"/>
      <c r="Y245" s="197"/>
    </row>
    <row r="246" spans="2:25" ht="15" customHeight="1">
      <c r="B246" s="337">
        <v>367</v>
      </c>
      <c r="C246" s="191">
        <v>46318</v>
      </c>
      <c r="D246" s="74" t="s">
        <v>461</v>
      </c>
      <c r="E246" s="58">
        <f t="shared" si="158"/>
        <v>367</v>
      </c>
      <c r="F246" s="351" t="s">
        <v>135</v>
      </c>
      <c r="G246" s="343">
        <f t="shared" si="159"/>
        <v>46685</v>
      </c>
      <c r="H246" s="343" t="str">
        <f t="shared" si="160"/>
        <v/>
      </c>
      <c r="I246" s="343" t="str">
        <f t="shared" si="161"/>
        <v>GUTO</v>
      </c>
      <c r="J246" s="387" t="s">
        <v>94</v>
      </c>
      <c r="K246" s="351" t="s">
        <v>118</v>
      </c>
      <c r="L246" s="384" t="str">
        <f t="shared" si="162"/>
        <v>8</v>
      </c>
      <c r="M246" s="443"/>
      <c r="N246" s="348" t="str">
        <f t="shared" si="163"/>
        <v/>
      </c>
      <c r="O246" s="308"/>
      <c r="P246" s="308"/>
      <c r="Q246" s="308"/>
      <c r="R246" s="308"/>
      <c r="S246" s="308"/>
      <c r="T246" s="308"/>
      <c r="U246" s="308"/>
      <c r="V246" s="308"/>
      <c r="W246" s="308"/>
      <c r="X246" s="308"/>
      <c r="Y246" s="197"/>
    </row>
    <row r="247" spans="2:25" ht="15" customHeight="1">
      <c r="B247" s="337">
        <v>30</v>
      </c>
      <c r="C247" s="191">
        <v>46318</v>
      </c>
      <c r="D247" s="74" t="s">
        <v>464</v>
      </c>
      <c r="E247" s="58" t="str">
        <f t="shared" si="158"/>
        <v/>
      </c>
      <c r="F247" s="351" t="s">
        <v>2</v>
      </c>
      <c r="G247" s="343">
        <f t="shared" si="159"/>
        <v>46348</v>
      </c>
      <c r="H247" s="343" t="str">
        <f t="shared" si="160"/>
        <v/>
      </c>
      <c r="I247" s="343" t="str">
        <f t="shared" si="161"/>
        <v>GUTO</v>
      </c>
      <c r="J247" s="387" t="s">
        <v>94</v>
      </c>
      <c r="K247" s="351" t="s">
        <v>118</v>
      </c>
      <c r="L247" s="384" t="str">
        <f t="shared" si="162"/>
        <v>8</v>
      </c>
      <c r="M247" s="443"/>
      <c r="N247" s="348">
        <f t="shared" si="163"/>
        <v>30</v>
      </c>
      <c r="O247" s="308"/>
      <c r="P247" s="308"/>
      <c r="Q247" s="308"/>
      <c r="R247" s="308"/>
      <c r="S247" s="308"/>
      <c r="T247" s="308"/>
      <c r="U247" s="308"/>
      <c r="V247" s="308"/>
      <c r="W247" s="308"/>
      <c r="X247" s="308"/>
      <c r="Y247" s="197"/>
    </row>
    <row r="248" spans="2:25" ht="19.5">
      <c r="B248" s="337"/>
      <c r="C248" s="191"/>
      <c r="D248" s="74"/>
      <c r="E248" s="58" t="str">
        <f t="shared" si="158"/>
        <v/>
      </c>
      <c r="F248" s="351"/>
      <c r="G248" s="343" t="str">
        <f t="shared" si="159"/>
        <v/>
      </c>
      <c r="H248" s="343" t="str">
        <f t="shared" si="160"/>
        <v/>
      </c>
      <c r="I248" s="343" t="str">
        <f t="shared" si="161"/>
        <v/>
      </c>
      <c r="J248" s="387"/>
      <c r="K248" s="351"/>
      <c r="L248" s="384" t="str">
        <f t="shared" si="162"/>
        <v/>
      </c>
      <c r="M248" s="443"/>
      <c r="N248" s="348" t="str">
        <f t="shared" si="163"/>
        <v/>
      </c>
      <c r="O248" s="308"/>
      <c r="P248" s="308"/>
      <c r="Q248" s="308"/>
      <c r="R248" s="308"/>
      <c r="S248" s="308"/>
      <c r="T248" s="308"/>
      <c r="U248" s="308"/>
      <c r="V248" s="308"/>
      <c r="W248" s="308"/>
      <c r="X248" s="308"/>
      <c r="Y248" s="197"/>
    </row>
    <row r="249" spans="2:25" ht="19.5">
      <c r="B249" s="337"/>
      <c r="C249" s="191"/>
      <c r="D249" s="74"/>
      <c r="E249" s="58" t="str">
        <f t="shared" si="158"/>
        <v/>
      </c>
      <c r="F249" s="351"/>
      <c r="G249" s="343" t="str">
        <f t="shared" si="159"/>
        <v/>
      </c>
      <c r="H249" s="343" t="str">
        <f t="shared" si="160"/>
        <v/>
      </c>
      <c r="I249" s="343" t="str">
        <f t="shared" si="161"/>
        <v/>
      </c>
      <c r="J249" s="387"/>
      <c r="K249" s="351"/>
      <c r="L249" s="384" t="str">
        <f t="shared" si="162"/>
        <v/>
      </c>
      <c r="M249" s="443"/>
      <c r="N249" s="348" t="str">
        <f t="shared" si="163"/>
        <v/>
      </c>
      <c r="O249" s="308"/>
      <c r="P249" s="308"/>
      <c r="Q249" s="308"/>
      <c r="R249" s="308"/>
      <c r="S249" s="308"/>
      <c r="T249" s="308"/>
      <c r="U249" s="308"/>
      <c r="V249" s="308"/>
      <c r="W249" s="308"/>
      <c r="X249" s="308"/>
      <c r="Y249" s="197"/>
    </row>
    <row r="250" spans="2:25" ht="19.5">
      <c r="B250" s="337"/>
      <c r="C250" s="191"/>
      <c r="D250" s="74"/>
      <c r="E250" s="58" t="str">
        <f t="shared" si="158"/>
        <v/>
      </c>
      <c r="F250" s="351"/>
      <c r="G250" s="343" t="str">
        <f t="shared" si="159"/>
        <v/>
      </c>
      <c r="H250" s="343" t="str">
        <f t="shared" si="160"/>
        <v/>
      </c>
      <c r="I250" s="343" t="str">
        <f t="shared" si="161"/>
        <v/>
      </c>
      <c r="J250" s="387"/>
      <c r="K250" s="351"/>
      <c r="L250" s="384" t="str">
        <f t="shared" si="162"/>
        <v/>
      </c>
      <c r="M250" s="443"/>
      <c r="N250" s="348" t="str">
        <f t="shared" si="163"/>
        <v/>
      </c>
      <c r="O250" s="308"/>
      <c r="P250" s="308"/>
      <c r="Q250" s="308"/>
      <c r="R250" s="308"/>
      <c r="S250" s="308"/>
      <c r="T250" s="308"/>
      <c r="U250" s="308"/>
      <c r="V250" s="308"/>
      <c r="W250" s="308"/>
      <c r="X250" s="308"/>
      <c r="Y250" s="197"/>
    </row>
    <row r="251" spans="2:25" ht="19.5">
      <c r="B251" s="337"/>
      <c r="C251" s="191"/>
      <c r="D251" s="74"/>
      <c r="E251" s="58" t="str">
        <f t="shared" si="158"/>
        <v/>
      </c>
      <c r="F251" s="351"/>
      <c r="G251" s="343" t="str">
        <f t="shared" si="159"/>
        <v/>
      </c>
      <c r="H251" s="343" t="str">
        <f t="shared" si="160"/>
        <v/>
      </c>
      <c r="I251" s="343" t="str">
        <f t="shared" si="161"/>
        <v/>
      </c>
      <c r="J251" s="387"/>
      <c r="K251" s="351"/>
      <c r="L251" s="384" t="str">
        <f t="shared" si="162"/>
        <v/>
      </c>
      <c r="M251" s="443"/>
      <c r="N251" s="348" t="str">
        <f t="shared" si="163"/>
        <v/>
      </c>
      <c r="O251" s="308"/>
      <c r="P251" s="308"/>
      <c r="Q251" s="308"/>
      <c r="R251" s="308"/>
      <c r="S251" s="308"/>
      <c r="T251" s="308"/>
      <c r="U251" s="308"/>
      <c r="V251" s="308"/>
      <c r="W251" s="308"/>
      <c r="X251" s="308"/>
      <c r="Y251" s="197"/>
    </row>
    <row r="252" spans="2:25" ht="19.5">
      <c r="B252" s="337"/>
      <c r="C252" s="191"/>
      <c r="D252" s="74"/>
      <c r="E252" s="58" t="str">
        <f t="shared" si="158"/>
        <v/>
      </c>
      <c r="F252" s="351"/>
      <c r="G252" s="343" t="str">
        <f t="shared" si="159"/>
        <v/>
      </c>
      <c r="H252" s="343" t="str">
        <f t="shared" si="160"/>
        <v/>
      </c>
      <c r="I252" s="343" t="str">
        <f t="shared" si="161"/>
        <v/>
      </c>
      <c r="J252" s="387"/>
      <c r="K252" s="351"/>
      <c r="L252" s="384" t="str">
        <f t="shared" si="162"/>
        <v/>
      </c>
      <c r="M252" s="443"/>
      <c r="N252" s="348" t="str">
        <f t="shared" si="163"/>
        <v/>
      </c>
      <c r="O252" s="308"/>
      <c r="P252" s="308"/>
      <c r="Q252" s="308"/>
      <c r="R252" s="308"/>
      <c r="S252" s="308"/>
      <c r="T252" s="308"/>
      <c r="U252" s="308"/>
      <c r="V252" s="308"/>
      <c r="W252" s="308"/>
      <c r="X252" s="308"/>
      <c r="Y252" s="197"/>
    </row>
    <row r="253" spans="2:25" ht="19.5">
      <c r="B253" s="337"/>
      <c r="C253" s="191"/>
      <c r="D253" s="74"/>
      <c r="E253" s="58" t="str">
        <f t="shared" si="158"/>
        <v/>
      </c>
      <c r="F253" s="351"/>
      <c r="G253" s="343" t="str">
        <f t="shared" si="159"/>
        <v/>
      </c>
      <c r="H253" s="343" t="str">
        <f t="shared" si="160"/>
        <v/>
      </c>
      <c r="I253" s="343" t="str">
        <f t="shared" si="161"/>
        <v/>
      </c>
      <c r="J253" s="387"/>
      <c r="K253" s="351"/>
      <c r="L253" s="384" t="str">
        <f t="shared" si="162"/>
        <v/>
      </c>
      <c r="M253" s="443"/>
      <c r="N253" s="348" t="str">
        <f t="shared" si="163"/>
        <v/>
      </c>
      <c r="O253" s="308"/>
      <c r="P253" s="308"/>
      <c r="Q253" s="308"/>
      <c r="R253" s="308"/>
      <c r="S253" s="308"/>
      <c r="T253" s="308"/>
      <c r="U253" s="308"/>
      <c r="V253" s="308"/>
      <c r="W253" s="308"/>
      <c r="X253" s="308"/>
      <c r="Y253" s="197"/>
    </row>
    <row r="254" spans="2:25" ht="19.5">
      <c r="B254" s="337"/>
      <c r="C254" s="191"/>
      <c r="D254" s="74"/>
      <c r="E254" s="58" t="str">
        <f t="shared" si="158"/>
        <v/>
      </c>
      <c r="F254" s="351"/>
      <c r="G254" s="343" t="str">
        <f t="shared" si="159"/>
        <v/>
      </c>
      <c r="H254" s="343" t="str">
        <f t="shared" si="160"/>
        <v/>
      </c>
      <c r="I254" s="343" t="str">
        <f t="shared" si="161"/>
        <v/>
      </c>
      <c r="J254" s="387"/>
      <c r="K254" s="351"/>
      <c r="L254" s="384" t="str">
        <f t="shared" si="162"/>
        <v/>
      </c>
      <c r="M254" s="443"/>
      <c r="N254" s="348" t="str">
        <f t="shared" si="163"/>
        <v/>
      </c>
      <c r="O254" s="308"/>
      <c r="P254" s="308"/>
      <c r="Q254" s="308"/>
      <c r="R254" s="308"/>
      <c r="S254" s="308"/>
      <c r="T254" s="308"/>
      <c r="U254" s="308"/>
      <c r="V254" s="308"/>
      <c r="W254" s="308"/>
      <c r="X254" s="308"/>
      <c r="Y254" s="197"/>
    </row>
    <row r="255" spans="2:25" ht="19.5">
      <c r="B255" s="337"/>
      <c r="C255" s="191"/>
      <c r="D255" s="74"/>
      <c r="E255" s="58" t="str">
        <f t="shared" si="158"/>
        <v/>
      </c>
      <c r="F255" s="351"/>
      <c r="G255" s="343" t="str">
        <f t="shared" si="159"/>
        <v/>
      </c>
      <c r="H255" s="343" t="str">
        <f t="shared" si="160"/>
        <v/>
      </c>
      <c r="I255" s="343" t="str">
        <f t="shared" si="161"/>
        <v/>
      </c>
      <c r="J255" s="387"/>
      <c r="K255" s="351"/>
      <c r="L255" s="384" t="str">
        <f t="shared" si="162"/>
        <v/>
      </c>
      <c r="M255" s="443"/>
      <c r="N255" s="348" t="str">
        <f t="shared" si="163"/>
        <v/>
      </c>
      <c r="O255" s="308"/>
      <c r="P255" s="308"/>
      <c r="Q255" s="308"/>
      <c r="R255" s="308"/>
      <c r="S255" s="308"/>
      <c r="T255" s="308"/>
      <c r="U255" s="308"/>
      <c r="V255" s="308"/>
      <c r="W255" s="308"/>
      <c r="X255" s="308"/>
      <c r="Y255" s="197"/>
    </row>
    <row r="256" spans="2:25" ht="19.5">
      <c r="B256" s="337"/>
      <c r="C256" s="191"/>
      <c r="D256" s="74"/>
      <c r="E256" s="58" t="str">
        <f t="shared" si="158"/>
        <v/>
      </c>
      <c r="F256" s="351"/>
      <c r="G256" s="343" t="str">
        <f t="shared" si="159"/>
        <v/>
      </c>
      <c r="H256" s="343" t="str">
        <f t="shared" si="160"/>
        <v/>
      </c>
      <c r="I256" s="343" t="str">
        <f t="shared" si="161"/>
        <v/>
      </c>
      <c r="J256" s="387"/>
      <c r="K256" s="351"/>
      <c r="L256" s="384" t="str">
        <f t="shared" si="162"/>
        <v/>
      </c>
      <c r="M256" s="443"/>
      <c r="N256" s="348" t="str">
        <f t="shared" si="163"/>
        <v/>
      </c>
      <c r="O256" s="308"/>
      <c r="P256" s="308"/>
      <c r="Q256" s="308"/>
      <c r="R256" s="308"/>
      <c r="S256" s="308"/>
      <c r="T256" s="308"/>
      <c r="U256" s="308"/>
      <c r="V256" s="308"/>
      <c r="W256" s="308"/>
      <c r="X256" s="308"/>
      <c r="Y256" s="197"/>
    </row>
    <row r="257" spans="2:25" ht="19.5">
      <c r="B257" s="337"/>
      <c r="C257" s="191"/>
      <c r="D257" s="74"/>
      <c r="E257" s="58" t="str">
        <f t="shared" si="158"/>
        <v/>
      </c>
      <c r="F257" s="351"/>
      <c r="G257" s="343" t="str">
        <f t="shared" si="159"/>
        <v/>
      </c>
      <c r="H257" s="343" t="str">
        <f t="shared" si="160"/>
        <v/>
      </c>
      <c r="I257" s="343" t="str">
        <f t="shared" si="161"/>
        <v/>
      </c>
      <c r="J257" s="387"/>
      <c r="K257" s="351"/>
      <c r="L257" s="384" t="str">
        <f t="shared" si="162"/>
        <v/>
      </c>
      <c r="M257" s="443"/>
      <c r="N257" s="348" t="str">
        <f t="shared" si="163"/>
        <v/>
      </c>
      <c r="O257" s="308"/>
      <c r="P257" s="308"/>
      <c r="Q257" s="308"/>
      <c r="R257" s="308"/>
      <c r="S257" s="308"/>
      <c r="T257" s="308"/>
      <c r="U257" s="308"/>
      <c r="V257" s="308"/>
      <c r="W257" s="308"/>
      <c r="X257" s="308"/>
      <c r="Y257" s="197"/>
    </row>
    <row r="258" spans="2:25" ht="19.5">
      <c r="B258" s="337"/>
      <c r="C258" s="191"/>
      <c r="D258" s="74"/>
      <c r="E258" s="58" t="str">
        <f t="shared" si="158"/>
        <v/>
      </c>
      <c r="F258" s="351"/>
      <c r="G258" s="343" t="str">
        <f t="shared" si="159"/>
        <v/>
      </c>
      <c r="H258" s="343" t="str">
        <f t="shared" si="160"/>
        <v/>
      </c>
      <c r="I258" s="343" t="str">
        <f t="shared" si="161"/>
        <v/>
      </c>
      <c r="J258" s="387"/>
      <c r="K258" s="351"/>
      <c r="L258" s="384" t="str">
        <f t="shared" si="162"/>
        <v/>
      </c>
      <c r="M258" s="443"/>
      <c r="N258" s="348" t="str">
        <f t="shared" si="163"/>
        <v/>
      </c>
      <c r="O258" s="308"/>
      <c r="P258" s="308"/>
      <c r="Q258" s="308"/>
      <c r="R258" s="308"/>
      <c r="S258" s="308"/>
      <c r="T258" s="308"/>
      <c r="U258" s="308"/>
      <c r="V258" s="308"/>
      <c r="W258" s="308"/>
      <c r="X258" s="308"/>
      <c r="Y258" s="197"/>
    </row>
    <row r="259" spans="2:25" ht="19.5">
      <c r="B259" s="337"/>
      <c r="C259" s="191"/>
      <c r="D259" s="74"/>
      <c r="E259" s="58" t="str">
        <f t="shared" si="158"/>
        <v/>
      </c>
      <c r="F259" s="351"/>
      <c r="G259" s="343" t="str">
        <f t="shared" si="159"/>
        <v/>
      </c>
      <c r="H259" s="343" t="str">
        <f t="shared" si="160"/>
        <v/>
      </c>
      <c r="I259" s="343" t="str">
        <f t="shared" si="161"/>
        <v/>
      </c>
      <c r="J259" s="387"/>
      <c r="K259" s="351"/>
      <c r="L259" s="384" t="str">
        <f t="shared" si="162"/>
        <v/>
      </c>
      <c r="M259" s="443"/>
      <c r="N259" s="348" t="str">
        <f t="shared" si="163"/>
        <v/>
      </c>
      <c r="P259" s="308"/>
      <c r="Q259" s="308"/>
      <c r="R259" s="308"/>
      <c r="S259" s="308"/>
      <c r="T259" s="308"/>
      <c r="U259" s="308"/>
      <c r="V259" s="308"/>
      <c r="W259" s="308"/>
    </row>
    <row r="260" spans="2:25" ht="19.5">
      <c r="B260" s="338"/>
      <c r="C260" s="215"/>
      <c r="D260" s="76"/>
      <c r="E260" s="67" t="str">
        <f t="shared" si="158"/>
        <v/>
      </c>
      <c r="F260" s="356"/>
      <c r="G260" s="345" t="str">
        <f t="shared" si="159"/>
        <v/>
      </c>
      <c r="H260" s="345" t="str">
        <f t="shared" si="160"/>
        <v/>
      </c>
      <c r="I260" s="345" t="str">
        <f t="shared" si="161"/>
        <v/>
      </c>
      <c r="J260" s="357"/>
      <c r="K260" s="356"/>
      <c r="L260" s="359" t="str">
        <f t="shared" si="162"/>
        <v/>
      </c>
      <c r="M260" s="360"/>
      <c r="N260" s="349" t="str">
        <f t="shared" si="163"/>
        <v/>
      </c>
    </row>
  </sheetData>
  <mergeCells count="162">
    <mergeCell ref="AH9:AH10"/>
    <mergeCell ref="AI9:AI10"/>
    <mergeCell ref="AH11:AH12"/>
    <mergeCell ref="B10:D11"/>
    <mergeCell ref="E10:F11"/>
    <mergeCell ref="J10:L11"/>
    <mergeCell ref="M10:N11"/>
    <mergeCell ref="AF5:AF7"/>
    <mergeCell ref="AA3:AA4"/>
    <mergeCell ref="AB3:AB4"/>
    <mergeCell ref="AC3:AE4"/>
    <mergeCell ref="AK3:AK4"/>
    <mergeCell ref="V4:V5"/>
    <mergeCell ref="D3:D5"/>
    <mergeCell ref="B3:C5"/>
    <mergeCell ref="B6:C8"/>
    <mergeCell ref="D6:D8"/>
    <mergeCell ref="E3:F5"/>
    <mergeCell ref="E6:F8"/>
    <mergeCell ref="J3:L5"/>
    <mergeCell ref="J6:L8"/>
    <mergeCell ref="M3:N5"/>
    <mergeCell ref="M6:N8"/>
    <mergeCell ref="R4:R5"/>
    <mergeCell ref="Q4:Q5"/>
    <mergeCell ref="AF3:AF4"/>
    <mergeCell ref="AH5:AH6"/>
    <mergeCell ref="AI5:AI6"/>
    <mergeCell ref="AH7:AH8"/>
    <mergeCell ref="AI7:AI8"/>
    <mergeCell ref="AF154:AF156"/>
    <mergeCell ref="E83:F84"/>
    <mergeCell ref="J83:L84"/>
    <mergeCell ref="M83:N84"/>
    <mergeCell ref="M132:N133"/>
    <mergeCell ref="B120:D121"/>
    <mergeCell ref="E120:F121"/>
    <mergeCell ref="J120:L121"/>
    <mergeCell ref="M120:N121"/>
    <mergeCell ref="AF132:AF134"/>
    <mergeCell ref="AC108:AE109"/>
    <mergeCell ref="AF110:AF112"/>
    <mergeCell ref="B83:D84"/>
    <mergeCell ref="B109:D110"/>
    <mergeCell ref="E109:F110"/>
    <mergeCell ref="J109:L110"/>
    <mergeCell ref="M109:N110"/>
    <mergeCell ref="B132:D133"/>
    <mergeCell ref="E132:F133"/>
    <mergeCell ref="J132:L133"/>
    <mergeCell ref="T24:T25"/>
    <mergeCell ref="U24:U25"/>
    <mergeCell ref="V24:V25"/>
    <mergeCell ref="W24:W25"/>
    <mergeCell ref="P42:Q45"/>
    <mergeCell ref="V17:V18"/>
    <mergeCell ref="AC174:AE175"/>
    <mergeCell ref="AC130:AE131"/>
    <mergeCell ref="AC152:AE153"/>
    <mergeCell ref="S48:S49"/>
    <mergeCell ref="P48:P49"/>
    <mergeCell ref="Q48:Q49"/>
    <mergeCell ref="R48:R49"/>
    <mergeCell ref="S66:S67"/>
    <mergeCell ref="T66:T67"/>
    <mergeCell ref="U66:U67"/>
    <mergeCell ref="R42:R45"/>
    <mergeCell ref="S42:S45"/>
    <mergeCell ref="T48:T49"/>
    <mergeCell ref="U48:U49"/>
    <mergeCell ref="E48:F49"/>
    <mergeCell ref="B18:D19"/>
    <mergeCell ref="E56:F57"/>
    <mergeCell ref="J56:L57"/>
    <mergeCell ref="M56:N57"/>
    <mergeCell ref="B56:D57"/>
    <mergeCell ref="E18:F19"/>
    <mergeCell ref="J18:L19"/>
    <mergeCell ref="M18:N19"/>
    <mergeCell ref="E26:F27"/>
    <mergeCell ref="B39:D40"/>
    <mergeCell ref="B26:D27"/>
    <mergeCell ref="E39:F40"/>
    <mergeCell ref="B48:D49"/>
    <mergeCell ref="J48:L49"/>
    <mergeCell ref="M48:N49"/>
    <mergeCell ref="M39:N40"/>
    <mergeCell ref="J39:L40"/>
    <mergeCell ref="J26:L27"/>
    <mergeCell ref="M26:N27"/>
    <mergeCell ref="AI13:AI14"/>
    <mergeCell ref="W17:W18"/>
    <mergeCell ref="Q17:Q18"/>
    <mergeCell ref="R17:R18"/>
    <mergeCell ref="T4:T5"/>
    <mergeCell ref="W4:W5"/>
    <mergeCell ref="P66:R67"/>
    <mergeCell ref="V48:V49"/>
    <mergeCell ref="V66:V67"/>
    <mergeCell ref="P4:P5"/>
    <mergeCell ref="U4:U5"/>
    <mergeCell ref="S4:S5"/>
    <mergeCell ref="S17:S18"/>
    <mergeCell ref="S24:S25"/>
    <mergeCell ref="U17:U18"/>
    <mergeCell ref="P20:W21"/>
    <mergeCell ref="T42:T43"/>
    <mergeCell ref="U42:U43"/>
    <mergeCell ref="V42:V45"/>
    <mergeCell ref="W42:W45"/>
    <mergeCell ref="T44:U45"/>
    <mergeCell ref="P24:P25"/>
    <mergeCell ref="Q24:Q25"/>
    <mergeCell ref="R24:R25"/>
    <mergeCell ref="B221:D222"/>
    <mergeCell ref="E221:F222"/>
    <mergeCell ref="J221:L222"/>
    <mergeCell ref="M221:N222"/>
    <mergeCell ref="B101:D102"/>
    <mergeCell ref="E101:F102"/>
    <mergeCell ref="J101:L102"/>
    <mergeCell ref="M101:N102"/>
    <mergeCell ref="B144:D145"/>
    <mergeCell ref="E144:F145"/>
    <mergeCell ref="J144:L145"/>
    <mergeCell ref="M144:N145"/>
    <mergeCell ref="B179:D180"/>
    <mergeCell ref="E179:F180"/>
    <mergeCell ref="J179:L180"/>
    <mergeCell ref="M179:N180"/>
    <mergeCell ref="B193:D194"/>
    <mergeCell ref="E193:F194"/>
    <mergeCell ref="J193:L194"/>
    <mergeCell ref="M193:N194"/>
    <mergeCell ref="B209:D210"/>
    <mergeCell ref="E209:F210"/>
    <mergeCell ref="J209:L210"/>
    <mergeCell ref="M209:N210"/>
    <mergeCell ref="AN5:AN8"/>
    <mergeCell ref="AM9:AN10"/>
    <mergeCell ref="AM11:AN12"/>
    <mergeCell ref="AM3:AN4"/>
    <mergeCell ref="AM13:AN14"/>
    <mergeCell ref="AI11:AI12"/>
    <mergeCell ref="AL5:AL6"/>
    <mergeCell ref="AL7:AL8"/>
    <mergeCell ref="AL9:AL10"/>
    <mergeCell ref="AL11:AL12"/>
    <mergeCell ref="AM5:AM6"/>
    <mergeCell ref="AM7:AM8"/>
    <mergeCell ref="AI3:AI4"/>
    <mergeCell ref="AJ5:AJ6"/>
    <mergeCell ref="AJ3:AJ4"/>
    <mergeCell ref="AJ13:AJ14"/>
    <mergeCell ref="AK5:AK6"/>
    <mergeCell ref="AK13:AK14"/>
    <mergeCell ref="AK7:AK8"/>
    <mergeCell ref="AK9:AK10"/>
    <mergeCell ref="AK11:AK12"/>
    <mergeCell ref="AJ7:AJ8"/>
    <mergeCell ref="AJ9:AJ10"/>
    <mergeCell ref="AJ11:AJ12"/>
  </mergeCells>
  <conditionalFormatting sqref="P20:W21">
    <cfRule type="cellIs" dxfId="174" priority="55" operator="greaterThan">
      <formula>0</formula>
    </cfRule>
    <cfRule type="cellIs" dxfId="173" priority="56" operator="lessThan">
      <formula>0</formula>
    </cfRule>
    <cfRule type="cellIs" dxfId="172" priority="57" operator="equal">
      <formula>0</formula>
    </cfRule>
  </conditionalFormatting>
  <conditionalFormatting sqref="AL5:AL12">
    <cfRule type="cellIs" dxfId="171" priority="25" operator="equal">
      <formula>"O"</formula>
    </cfRule>
  </conditionalFormatting>
  <conditionalFormatting sqref="AL5:AL12">
    <cfRule type="cellIs" dxfId="170" priority="24" operator="equal">
      <formula>"P"</formula>
    </cfRule>
  </conditionalFormatting>
  <conditionalFormatting sqref="F12:F16">
    <cfRule type="cellIs" dxfId="169" priority="23" operator="equal">
      <formula>"Pago"</formula>
    </cfRule>
  </conditionalFormatting>
  <conditionalFormatting sqref="F20:F24">
    <cfRule type="cellIs" dxfId="168" priority="22" operator="equal">
      <formula>"Pago"</formula>
    </cfRule>
  </conditionalFormatting>
  <conditionalFormatting sqref="G34:I34 F28:F37">
    <cfRule type="cellIs" dxfId="167" priority="21" operator="equal">
      <formula>"Pago"</formula>
    </cfRule>
  </conditionalFormatting>
  <conditionalFormatting sqref="F41:F46">
    <cfRule type="cellIs" dxfId="166" priority="20" operator="equal">
      <formula>"Pago"</formula>
    </cfRule>
  </conditionalFormatting>
  <conditionalFormatting sqref="F50:F54">
    <cfRule type="cellIs" dxfId="165" priority="19" operator="equal">
      <formula>"Pago"</formula>
    </cfRule>
  </conditionalFormatting>
  <conditionalFormatting sqref="F58:F81">
    <cfRule type="cellIs" dxfId="164" priority="18" operator="equal">
      <formula>"Pago"</formula>
    </cfRule>
  </conditionalFormatting>
  <conditionalFormatting sqref="F85:F99">
    <cfRule type="cellIs" dxfId="163" priority="17" operator="equal">
      <formula>"Pago"</formula>
    </cfRule>
  </conditionalFormatting>
  <conditionalFormatting sqref="F103:F107">
    <cfRule type="cellIs" dxfId="162" priority="16" operator="equal">
      <formula>"Pago"</formula>
    </cfRule>
  </conditionalFormatting>
  <conditionalFormatting sqref="F111:F118">
    <cfRule type="cellIs" dxfId="161" priority="15" operator="equal">
      <formula>"Pago"</formula>
    </cfRule>
  </conditionalFormatting>
  <conditionalFormatting sqref="F122:F130">
    <cfRule type="cellIs" dxfId="160" priority="14" operator="equal">
      <formula>"Pago"</formula>
    </cfRule>
  </conditionalFormatting>
  <conditionalFormatting sqref="F134:F142">
    <cfRule type="cellIs" dxfId="159" priority="13" operator="equal">
      <formula>"Pago"</formula>
    </cfRule>
  </conditionalFormatting>
  <conditionalFormatting sqref="F146:F177">
    <cfRule type="cellIs" dxfId="158" priority="12" operator="equal">
      <formula>"Pago"</formula>
    </cfRule>
  </conditionalFormatting>
  <conditionalFormatting sqref="F181:F191">
    <cfRule type="cellIs" dxfId="157" priority="11" operator="equal">
      <formula>"Pago"</formula>
    </cfRule>
  </conditionalFormatting>
  <conditionalFormatting sqref="F195:F207">
    <cfRule type="cellIs" dxfId="156" priority="10" operator="equal">
      <formula>"Pago"</formula>
    </cfRule>
  </conditionalFormatting>
  <conditionalFormatting sqref="F211:F219">
    <cfRule type="cellIs" dxfId="155" priority="9" operator="equal">
      <formula>"Pago"</formula>
    </cfRule>
  </conditionalFormatting>
  <conditionalFormatting sqref="F223:F260">
    <cfRule type="cellIs" dxfId="154" priority="8" operator="equal">
      <formula>"Pago"</formula>
    </cfRule>
  </conditionalFormatting>
  <dataValidations count="3">
    <dataValidation type="list" allowBlank="1" showInputMessage="1" showErrorMessage="1" sqref="K12:K16 K223:K260 K195:K207 K28:K37 K211:K219 K134:K142 K111:K118 K103:K107 K20:K24 K50:K54 K41:K46 K58:K81 K122:K130 K181:K191 K146:K177 K85:K99" xr:uid="{00000000-0002-0000-0000-000000000000}">
      <formula1>$BB$4:$BB$9</formula1>
    </dataValidation>
    <dataValidation type="list" allowBlank="1" showInputMessage="1" showErrorMessage="1" sqref="J12:J16 J223:J260 J195:J207 J28:J37 J20:J24 J211:J219 J134:J142 J111:J118 J103:J107 J50:J54 J41:J46 J58:J81 J122:J130 J146:J177 J181:J191 J85:J99" xr:uid="{00000000-0002-0000-0000-000001000000}">
      <formula1>$BA$4:$BA$7</formula1>
    </dataValidation>
    <dataValidation type="list" allowBlank="1" showInputMessage="1" showErrorMessage="1" sqref="F28:F37 F134:F142 F41:F46 F85:F99 F223:F260 F195:F207 F103:F107 F111:F118 F50:F54 F12:F16 F211:F219 F20:F24 F122:F130 G34:I34 F181:F191 F58:F81 F146:F177" xr:uid="{00000000-0002-0000-0000-000002000000}">
      <formula1>$BC$4:$BC$6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2:BT200"/>
  <sheetViews>
    <sheetView showZeros="0" zoomScaleNormal="100" zoomScaleSheetLayoutView="100" workbookViewId="0">
      <selection activeCell="I4" sqref="I4:T5"/>
    </sheetView>
  </sheetViews>
  <sheetFormatPr defaultColWidth="9.140625" defaultRowHeight="15"/>
  <cols>
    <col min="1" max="1" width="1.85546875" style="3" customWidth="1"/>
    <col min="2" max="2" width="4.140625" style="4" bestFit="1" customWidth="1"/>
    <col min="3" max="3" width="12.140625" style="5" customWidth="1"/>
    <col min="4" max="4" width="7.140625" style="5" customWidth="1"/>
    <col min="5" max="5" width="27.42578125" style="5" bestFit="1" customWidth="1"/>
    <col min="6" max="6" width="0.85546875" style="5" customWidth="1"/>
    <col min="7" max="7" width="12.42578125" style="6" customWidth="1"/>
    <col min="8" max="8" width="0.85546875" style="6" customWidth="1"/>
    <col min="9" max="9" width="8.140625" style="7" customWidth="1"/>
    <col min="10" max="10" width="9.140625" style="209" customWidth="1"/>
    <col min="11" max="11" width="9.28515625" style="9" customWidth="1"/>
    <col min="12" max="12" width="14" style="8" bestFit="1" customWidth="1"/>
    <col min="13" max="14" width="3.42578125" style="8" customWidth="1"/>
    <col min="15" max="17" width="3.7109375" style="6" customWidth="1"/>
    <col min="18" max="20" width="2.85546875" style="6" customWidth="1"/>
    <col min="21" max="21" width="0.85546875" style="6" customWidth="1"/>
    <col min="22" max="22" width="13.85546875" style="9" customWidth="1"/>
    <col min="23" max="23" width="5.5703125" style="10" customWidth="1"/>
    <col min="24" max="24" width="2.7109375" style="10" customWidth="1"/>
    <col min="25" max="25" width="16.28515625" style="10" customWidth="1"/>
    <col min="26" max="26" width="1.42578125" style="10" customWidth="1"/>
    <col min="27" max="27" width="16.85546875" style="11" bestFit="1" customWidth="1"/>
    <col min="28" max="28" width="1.42578125" style="11" customWidth="1"/>
    <col min="29" max="30" width="12.7109375" style="10" customWidth="1"/>
    <col min="31" max="31" width="12.7109375" style="12" customWidth="1"/>
    <col min="32" max="35" width="12.7109375" style="10" customWidth="1"/>
    <col min="36" max="36" width="1.42578125" style="6" customWidth="1"/>
    <col min="37" max="37" width="12.7109375" style="6" customWidth="1"/>
    <col min="38" max="38" width="2.7109375" style="6" customWidth="1"/>
    <col min="39" max="39" width="11.85546875" style="6" customWidth="1"/>
    <col min="40" max="40" width="7.42578125" style="197" customWidth="1"/>
    <col min="41" max="41" width="7.42578125" style="13" customWidth="1"/>
    <col min="42" max="42" width="4" style="13" customWidth="1"/>
    <col min="43" max="43" width="12" style="13" bestFit="1" customWidth="1"/>
    <col min="44" max="44" width="8.7109375" style="3" customWidth="1"/>
    <col min="45" max="45" width="30.85546875" style="14" customWidth="1"/>
    <col min="46" max="46" width="12.7109375" style="15" customWidth="1"/>
    <col min="47" max="47" width="10.28515625" style="16" customWidth="1"/>
    <col min="48" max="48" width="4.140625" style="13" customWidth="1"/>
    <col min="49" max="49" width="9.140625" style="17" customWidth="1"/>
    <col min="50" max="50" width="13.28515625" style="17" customWidth="1"/>
    <col min="51" max="52" width="6.7109375" style="5" customWidth="1"/>
    <col min="53" max="68" width="9.140625" style="5"/>
    <col min="69" max="69" width="9.140625" style="18"/>
    <col min="70" max="70" width="9.140625" style="3"/>
    <col min="71" max="71" width="14" style="5" bestFit="1" customWidth="1"/>
    <col min="72" max="72" width="9.140625" style="3"/>
    <col min="73" max="16384" width="9.140625" style="5"/>
  </cols>
  <sheetData>
    <row r="2" spans="1:72" ht="12" customHeight="1">
      <c r="I2" s="905">
        <f>AC38+AC39+AC40+AC47+AC48</f>
        <v>583.62999999999988</v>
      </c>
      <c r="J2" s="905"/>
      <c r="K2" s="906"/>
      <c r="L2" s="906"/>
      <c r="M2" s="909">
        <f>I2+I4</f>
        <v>883.62999999999988</v>
      </c>
      <c r="N2" s="910"/>
      <c r="O2" s="910"/>
      <c r="P2" s="910"/>
      <c r="Q2" s="910"/>
      <c r="R2" s="910"/>
      <c r="S2" s="910"/>
      <c r="T2" s="911"/>
      <c r="Y2" s="180"/>
    </row>
    <row r="3" spans="1:72" ht="15" customHeight="1">
      <c r="E3" s="16"/>
      <c r="I3" s="906"/>
      <c r="J3" s="906"/>
      <c r="K3" s="906"/>
      <c r="L3" s="906"/>
      <c r="M3" s="912"/>
      <c r="N3" s="913"/>
      <c r="O3" s="913"/>
      <c r="P3" s="913"/>
      <c r="Q3" s="913"/>
      <c r="R3" s="913"/>
      <c r="S3" s="913"/>
      <c r="T3" s="914"/>
      <c r="V3" s="6"/>
      <c r="AJ3" s="5"/>
      <c r="AK3" s="3"/>
      <c r="AP3" s="681" t="s">
        <v>164</v>
      </c>
      <c r="AQ3" s="599" t="s">
        <v>81</v>
      </c>
      <c r="AR3" s="601" t="s">
        <v>35</v>
      </c>
      <c r="AS3" s="601"/>
      <c r="AT3" s="601"/>
      <c r="AU3" s="599" t="s">
        <v>43</v>
      </c>
      <c r="AW3" s="886" t="s">
        <v>34</v>
      </c>
      <c r="AX3" s="887"/>
      <c r="AY3" s="887"/>
      <c r="AZ3" s="888"/>
    </row>
    <row r="4" spans="1:72" ht="15" customHeight="1">
      <c r="B4" s="19"/>
      <c r="E4" s="16"/>
      <c r="G4" s="53"/>
      <c r="I4" s="892">
        <f>G8+T8</f>
        <v>300</v>
      </c>
      <c r="J4" s="893"/>
      <c r="K4" s="893"/>
      <c r="L4" s="893"/>
      <c r="M4" s="893"/>
      <c r="N4" s="893"/>
      <c r="O4" s="893"/>
      <c r="P4" s="893"/>
      <c r="Q4" s="893"/>
      <c r="R4" s="893"/>
      <c r="S4" s="893"/>
      <c r="T4" s="894"/>
      <c r="W4" s="20"/>
      <c r="X4" s="21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3"/>
      <c r="AN4" s="198"/>
      <c r="AO4" s="25"/>
      <c r="AP4" s="682"/>
      <c r="AQ4" s="600"/>
      <c r="AR4" s="602"/>
      <c r="AS4" s="602"/>
      <c r="AT4" s="602"/>
      <c r="AU4" s="680"/>
      <c r="AW4" s="889"/>
      <c r="AX4" s="890"/>
      <c r="AY4" s="890"/>
      <c r="AZ4" s="891"/>
      <c r="BP4" s="27"/>
      <c r="BQ4" s="28"/>
      <c r="BR4" s="29"/>
      <c r="BS4" s="27"/>
      <c r="BT4" s="29"/>
    </row>
    <row r="5" spans="1:72" ht="15" customHeight="1">
      <c r="B5" s="19"/>
      <c r="I5" s="892"/>
      <c r="J5" s="893"/>
      <c r="K5" s="893"/>
      <c r="L5" s="893"/>
      <c r="M5" s="893"/>
      <c r="N5" s="893"/>
      <c r="O5" s="893"/>
      <c r="P5" s="893"/>
      <c r="Q5" s="893"/>
      <c r="R5" s="893"/>
      <c r="S5" s="893"/>
      <c r="T5" s="894"/>
      <c r="W5" s="20"/>
      <c r="X5" s="30"/>
      <c r="Y5" s="31"/>
      <c r="Z5" s="31"/>
      <c r="AA5" s="895" t="s">
        <v>160</v>
      </c>
      <c r="AB5" s="896"/>
      <c r="AC5" s="899" t="s">
        <v>161</v>
      </c>
      <c r="AD5" s="31"/>
      <c r="AE5" s="31"/>
      <c r="AF5" s="31"/>
      <c r="AG5" s="895" t="s">
        <v>26</v>
      </c>
      <c r="AH5" s="899" t="s">
        <v>2</v>
      </c>
      <c r="AI5" s="31"/>
      <c r="AJ5" s="31"/>
      <c r="AK5" s="31"/>
      <c r="AL5" s="32"/>
      <c r="AN5" s="199">
        <f t="shared" ref="AN5:AN47" si="0">IFERROR(VLOOKUP(AO5,$J$10:$J$199,1,0),"")</f>
        <v>0</v>
      </c>
      <c r="AO5" s="202">
        <f>AR5+AT5</f>
        <v>0</v>
      </c>
      <c r="AP5" s="114" t="str">
        <f>IF(AND(AN5=0,AO5=0),"",IF(AN5=AO5,"P",IF(AN5&lt;&gt;AO5,"O")))</f>
        <v/>
      </c>
      <c r="AQ5" s="117">
        <f t="shared" ref="AQ5:AQ47" si="1">IFERROR(VLOOKUP(AO5,$J$10:$L$199,3,0),"")</f>
        <v>0</v>
      </c>
      <c r="AR5" s="195"/>
      <c r="AS5" s="213"/>
      <c r="AT5" s="163"/>
      <c r="AU5" s="568" t="s">
        <v>90</v>
      </c>
      <c r="AW5" s="228" t="s">
        <v>90</v>
      </c>
      <c r="AX5" s="34">
        <f>AR108</f>
        <v>3696.3499999999995</v>
      </c>
      <c r="AY5" s="851">
        <f>SUM(AX5:AX6)-0.03</f>
        <v>4048.3199999999993</v>
      </c>
      <c r="AZ5" s="852"/>
      <c r="BP5" s="35" t="s">
        <v>88</v>
      </c>
      <c r="BQ5" s="36" t="s">
        <v>89</v>
      </c>
      <c r="BR5" s="37" t="s">
        <v>118</v>
      </c>
      <c r="BS5" s="38" t="s">
        <v>21</v>
      </c>
      <c r="BT5" s="39" t="s">
        <v>135</v>
      </c>
    </row>
    <row r="6" spans="1:72" ht="15" customHeight="1">
      <c r="B6" s="19"/>
      <c r="C6" s="873" t="s">
        <v>162</v>
      </c>
      <c r="D6" s="875" t="s">
        <v>3</v>
      </c>
      <c r="E6" s="858" t="s">
        <v>1</v>
      </c>
      <c r="G6" s="877" t="s">
        <v>40</v>
      </c>
      <c r="I6" s="853" t="s">
        <v>136</v>
      </c>
      <c r="J6" s="204"/>
      <c r="K6" s="210"/>
      <c r="L6" s="879" t="s">
        <v>163</v>
      </c>
      <c r="M6" s="264"/>
      <c r="N6" s="265"/>
      <c r="O6" s="853" t="s">
        <v>91</v>
      </c>
      <c r="P6" s="902" t="s">
        <v>92</v>
      </c>
      <c r="Q6" s="853" t="s">
        <v>166</v>
      </c>
      <c r="R6" s="856" t="s">
        <v>39</v>
      </c>
      <c r="S6" s="857"/>
      <c r="T6" s="858"/>
      <c r="V6" s="865" t="s">
        <v>2</v>
      </c>
      <c r="W6" s="40"/>
      <c r="X6" s="30"/>
      <c r="Y6" s="31"/>
      <c r="Z6" s="31"/>
      <c r="AA6" s="897"/>
      <c r="AB6" s="898"/>
      <c r="AC6" s="900"/>
      <c r="AD6" s="31"/>
      <c r="AE6" s="31"/>
      <c r="AF6" s="31"/>
      <c r="AG6" s="897"/>
      <c r="AH6" s="901"/>
      <c r="AI6" s="31"/>
      <c r="AJ6" s="31"/>
      <c r="AK6" s="31"/>
      <c r="AL6" s="41"/>
      <c r="AN6" s="200">
        <f t="shared" si="0"/>
        <v>0</v>
      </c>
      <c r="AO6" s="196">
        <f t="shared" ref="AO6:AO47" si="2">AR6+AT6</f>
        <v>0</v>
      </c>
      <c r="AP6" s="33" t="str">
        <f>IF(AND(AN6=0,AO6=0),"",IF(AN6=AO6,"P",IF(AN6&lt;&gt;AO6,"O")))</f>
        <v/>
      </c>
      <c r="AQ6" s="99">
        <f t="shared" si="1"/>
        <v>0</v>
      </c>
      <c r="AR6" s="195"/>
      <c r="AS6" s="42"/>
      <c r="AT6" s="163"/>
      <c r="AU6" s="569"/>
      <c r="AW6" s="228" t="s">
        <v>95</v>
      </c>
      <c r="AX6" s="43">
        <f>AR130</f>
        <v>352</v>
      </c>
      <c r="AY6" s="847"/>
      <c r="AZ6" s="848"/>
      <c r="BP6" s="35" t="s">
        <v>93</v>
      </c>
      <c r="BQ6" s="36" t="s">
        <v>94</v>
      </c>
      <c r="BR6" s="37" t="s">
        <v>90</v>
      </c>
      <c r="BS6" s="38" t="s">
        <v>86</v>
      </c>
      <c r="BT6" s="39" t="s">
        <v>2</v>
      </c>
    </row>
    <row r="7" spans="1:72" ht="15" customHeight="1">
      <c r="B7" s="19"/>
      <c r="C7" s="874"/>
      <c r="D7" s="876"/>
      <c r="E7" s="861"/>
      <c r="G7" s="878"/>
      <c r="I7" s="854"/>
      <c r="J7" s="204"/>
      <c r="K7" s="210"/>
      <c r="L7" s="880"/>
      <c r="M7" s="882" t="s">
        <v>10</v>
      </c>
      <c r="N7" s="884" t="s">
        <v>5</v>
      </c>
      <c r="O7" s="854"/>
      <c r="P7" s="903"/>
      <c r="Q7" s="854"/>
      <c r="R7" s="859"/>
      <c r="S7" s="860"/>
      <c r="T7" s="861"/>
      <c r="V7" s="866"/>
      <c r="W7" s="20"/>
      <c r="X7" s="30"/>
      <c r="Y7" s="867" t="s">
        <v>96</v>
      </c>
      <c r="Z7" s="868"/>
      <c r="AA7" s="869">
        <v>789.02</v>
      </c>
      <c r="AB7" s="870"/>
      <c r="AC7" s="236"/>
      <c r="AD7" s="871">
        <f>SUM(AA7:AC8)</f>
        <v>8329.9500000000007</v>
      </c>
      <c r="AE7" s="31"/>
      <c r="AF7" s="44" t="s">
        <v>97</v>
      </c>
      <c r="AG7" s="45">
        <f>SUMIFS($G$10:$G$168,$P$10:$P$168,"AV")</f>
        <v>300</v>
      </c>
      <c r="AH7" s="46">
        <f>SUMIFS(V10:V200,P10:P200,"AV")</f>
        <v>8766.6799999999985</v>
      </c>
      <c r="AI7" s="47">
        <f>SUM(AG7,AH7)</f>
        <v>9066.6799999999985</v>
      </c>
      <c r="AJ7" s="31"/>
      <c r="AK7" s="31"/>
      <c r="AL7" s="41"/>
      <c r="AN7" s="200">
        <f t="shared" si="0"/>
        <v>0</v>
      </c>
      <c r="AO7" s="196">
        <f t="shared" si="2"/>
        <v>0</v>
      </c>
      <c r="AP7" s="33" t="str">
        <f t="shared" ref="AP7:AP47" si="3">IF(AND(AN7=0,AO7=0),"",IF(AN7=AO7,"P",IF(AN7&lt;&gt;AO7,"O")))</f>
        <v/>
      </c>
      <c r="AQ7" s="99">
        <f t="shared" si="1"/>
        <v>0</v>
      </c>
      <c r="AR7" s="121"/>
      <c r="AS7" s="42"/>
      <c r="AT7" s="163"/>
      <c r="AU7" s="569"/>
      <c r="AW7" s="228" t="s">
        <v>114</v>
      </c>
      <c r="AX7" s="907">
        <f>AR152</f>
        <v>582.16000000000008</v>
      </c>
      <c r="AY7" s="669"/>
      <c r="AZ7" s="908"/>
      <c r="BQ7" s="36" t="s">
        <v>98</v>
      </c>
      <c r="BR7" s="37" t="s">
        <v>95</v>
      </c>
      <c r="BS7" s="38" t="s">
        <v>19</v>
      </c>
    </row>
    <row r="8" spans="1:72" ht="15" customHeight="1">
      <c r="B8" s="19"/>
      <c r="C8" s="842">
        <f>SUM(C10:C200)</f>
        <v>16374.589999999997</v>
      </c>
      <c r="D8" s="876"/>
      <c r="E8" s="861"/>
      <c r="G8" s="843">
        <f>SUM(G10:G199)</f>
        <v>300</v>
      </c>
      <c r="I8" s="854"/>
      <c r="J8" s="204"/>
      <c r="K8" s="210"/>
      <c r="L8" s="880"/>
      <c r="M8" s="882"/>
      <c r="N8" s="884"/>
      <c r="O8" s="854"/>
      <c r="P8" s="903"/>
      <c r="Q8" s="854"/>
      <c r="R8" s="859"/>
      <c r="S8" s="860"/>
      <c r="T8" s="861"/>
      <c r="V8" s="845">
        <f>SUM(V10:V200)</f>
        <v>16074.589999999998</v>
      </c>
      <c r="X8" s="30"/>
      <c r="Y8" s="820" t="s">
        <v>41</v>
      </c>
      <c r="Z8" s="821"/>
      <c r="AA8" s="847"/>
      <c r="AB8" s="848"/>
      <c r="AC8" s="49">
        <v>7540.93</v>
      </c>
      <c r="AD8" s="872"/>
      <c r="AE8" s="31"/>
      <c r="AF8" s="50" t="s">
        <v>100</v>
      </c>
      <c r="AG8" s="232">
        <f>SUMIFS($G$10:$G$168,$P$10:$P$168,"IT")</f>
        <v>0</v>
      </c>
      <c r="AH8" s="236">
        <f>SUMIFS($V$10:$V$200,$P$10:$P$200,"IT")</f>
        <v>3912.9099999999989</v>
      </c>
      <c r="AI8" s="316">
        <f t="shared" ref="AI8:AI15" si="4">SUM(AG8,AH8)</f>
        <v>3912.9099999999989</v>
      </c>
      <c r="AJ8" s="677">
        <f>SUM(AI8:AI9)</f>
        <v>4324.8099999999986</v>
      </c>
      <c r="AK8" s="709"/>
      <c r="AL8" s="41"/>
      <c r="AN8" s="200">
        <f t="shared" si="0"/>
        <v>0</v>
      </c>
      <c r="AO8" s="196">
        <f t="shared" si="2"/>
        <v>0</v>
      </c>
      <c r="AP8" s="33" t="str">
        <f t="shared" si="3"/>
        <v/>
      </c>
      <c r="AQ8" s="99">
        <f t="shared" si="1"/>
        <v>0</v>
      </c>
      <c r="AR8" s="121"/>
      <c r="AS8" s="42"/>
      <c r="AT8" s="163"/>
      <c r="AU8" s="48"/>
      <c r="AW8" s="229" t="s">
        <v>8</v>
      </c>
      <c r="AX8" s="671">
        <f>AR174</f>
        <v>1650.7700000000004</v>
      </c>
      <c r="AY8" s="671"/>
      <c r="AZ8" s="671"/>
      <c r="BR8" s="37" t="s">
        <v>99</v>
      </c>
      <c r="BS8" s="38" t="s">
        <v>106</v>
      </c>
    </row>
    <row r="9" spans="1:72" ht="15" customHeight="1">
      <c r="B9" s="19"/>
      <c r="C9" s="717"/>
      <c r="D9" s="876"/>
      <c r="E9" s="864"/>
      <c r="G9" s="844"/>
      <c r="I9" s="855"/>
      <c r="J9" s="205"/>
      <c r="K9" s="211"/>
      <c r="L9" s="881"/>
      <c r="M9" s="883"/>
      <c r="N9" s="885"/>
      <c r="O9" s="855"/>
      <c r="P9" s="904"/>
      <c r="Q9" s="855"/>
      <c r="R9" s="862"/>
      <c r="S9" s="863"/>
      <c r="T9" s="864"/>
      <c r="V9" s="846"/>
      <c r="W9" s="20"/>
      <c r="X9" s="30"/>
      <c r="Y9" s="849" t="s">
        <v>101</v>
      </c>
      <c r="Z9" s="850"/>
      <c r="AA9" s="851"/>
      <c r="AB9" s="852"/>
      <c r="AC9" s="236">
        <v>1800</v>
      </c>
      <c r="AD9" s="233">
        <f t="shared" ref="AD9:AD16" si="5">SUM(AA9:AC9)</f>
        <v>1800</v>
      </c>
      <c r="AE9" s="31"/>
      <c r="AF9" s="51" t="s">
        <v>102</v>
      </c>
      <c r="AG9" s="52">
        <f>SUMIFS($G$10:$G$168,$P$10:$P$168,"IT2")</f>
        <v>0</v>
      </c>
      <c r="AH9" s="49">
        <f>SUMIFS($V$10:$V$200,$P$10:$P$200,"IT2")</f>
        <v>411.9</v>
      </c>
      <c r="AI9" s="317">
        <f t="shared" si="4"/>
        <v>411.9</v>
      </c>
      <c r="AJ9" s="678"/>
      <c r="AK9" s="711"/>
      <c r="AL9" s="41"/>
      <c r="AN9" s="200">
        <f t="shared" si="0"/>
        <v>0</v>
      </c>
      <c r="AO9" s="196">
        <f t="shared" si="2"/>
        <v>0</v>
      </c>
      <c r="AP9" s="33" t="str">
        <f t="shared" si="3"/>
        <v/>
      </c>
      <c r="AQ9" s="99">
        <f t="shared" si="1"/>
        <v>0</v>
      </c>
      <c r="AR9" s="121"/>
      <c r="AS9" s="42"/>
      <c r="AT9" s="163"/>
      <c r="AU9" s="48"/>
      <c r="AW9" s="831">
        <f>SUM(AY5,AX7,AX8)</f>
        <v>6281.25</v>
      </c>
      <c r="AX9" s="832"/>
      <c r="AY9" s="832"/>
      <c r="AZ9" s="833"/>
      <c r="BR9" s="37" t="s">
        <v>8</v>
      </c>
      <c r="BS9" s="38" t="s">
        <v>137</v>
      </c>
    </row>
    <row r="10" spans="1:72" ht="15" customHeight="1">
      <c r="A10" s="54">
        <f>IF(B10&lt;&gt;"",1,"")</f>
        <v>1</v>
      </c>
      <c r="B10" s="55">
        <f t="shared" ref="B10:B73" si="6">IF(C10="","",B9+1)</f>
        <v>1</v>
      </c>
      <c r="C10" s="181">
        <v>549.05999999999995</v>
      </c>
      <c r="D10" s="239">
        <v>46249</v>
      </c>
      <c r="E10" s="74" t="s">
        <v>138</v>
      </c>
      <c r="F10" s="57"/>
      <c r="G10" s="71" t="str">
        <f>IF(OR(C10="",I10="Pago"),"",C10)</f>
        <v/>
      </c>
      <c r="I10" s="130" t="s">
        <v>2</v>
      </c>
      <c r="J10" s="206">
        <f>C10+D10</f>
        <v>46798.06</v>
      </c>
      <c r="K10" s="207" t="str">
        <f t="shared" ref="K10:K41" si="7">IFERROR(VLOOKUP(J10,$AO$5:$AO$173,1,0),"")</f>
        <v/>
      </c>
      <c r="L10" s="153" t="s">
        <v>86</v>
      </c>
      <c r="M10" s="253">
        <f>IF(L10=$Y$103,1,0)</f>
        <v>0</v>
      </c>
      <c r="N10" s="261">
        <f>IF(L10=$Y$119,1,0)</f>
        <v>0</v>
      </c>
      <c r="O10" s="224" t="s">
        <v>94</v>
      </c>
      <c r="P10" s="130" t="s">
        <v>118</v>
      </c>
      <c r="Q10" s="135" t="str">
        <f t="shared" ref="Q10:Q33" si="8">IF(P10="AV","8",IF(AND(J10=0,K10=0),"",IF(J10=K10,"P",IF(J10&lt;&gt;K10,"O"))))</f>
        <v>8</v>
      </c>
      <c r="R10" s="132"/>
      <c r="S10" s="134" t="str">
        <f t="shared" ref="S10:S33" si="9">IF(R10="","","de")</f>
        <v/>
      </c>
      <c r="T10" s="133"/>
      <c r="V10" s="71">
        <f t="shared" ref="V10:V73" si="10">IF(I10="Pago",C10,"")</f>
        <v>549.05999999999995</v>
      </c>
      <c r="W10" s="20"/>
      <c r="X10" s="30"/>
      <c r="Y10" s="837" t="s">
        <v>103</v>
      </c>
      <c r="Z10" s="838"/>
      <c r="AA10" s="839"/>
      <c r="AB10" s="840"/>
      <c r="AC10" s="49">
        <v>1620</v>
      </c>
      <c r="AD10" s="59">
        <f t="shared" si="5"/>
        <v>1620</v>
      </c>
      <c r="AE10" s="31"/>
      <c r="AF10" s="60" t="s">
        <v>104</v>
      </c>
      <c r="AG10" s="230"/>
      <c r="AH10" s="120">
        <v>582.16</v>
      </c>
      <c r="AI10" s="318">
        <f t="shared" si="4"/>
        <v>582.16</v>
      </c>
      <c r="AJ10" s="61"/>
      <c r="AK10" s="61"/>
      <c r="AL10" s="41"/>
      <c r="AN10" s="200">
        <f t="shared" si="0"/>
        <v>0</v>
      </c>
      <c r="AO10" s="196">
        <f t="shared" si="2"/>
        <v>0</v>
      </c>
      <c r="AP10" s="33" t="str">
        <f t="shared" si="3"/>
        <v/>
      </c>
      <c r="AQ10" s="99">
        <f t="shared" si="1"/>
        <v>0</v>
      </c>
      <c r="AR10" s="121"/>
      <c r="AS10" s="42"/>
      <c r="AT10" s="163"/>
      <c r="AU10" s="48"/>
      <c r="AW10" s="834"/>
      <c r="AX10" s="835"/>
      <c r="AY10" s="835"/>
      <c r="AZ10" s="836"/>
      <c r="BB10" s="841">
        <f>IF(AY5-AW14=0,"R$ 0,00",AY5-AW14)</f>
        <v>84.349999999999454</v>
      </c>
      <c r="BC10" s="841"/>
      <c r="BS10" s="38" t="s">
        <v>15</v>
      </c>
    </row>
    <row r="11" spans="1:72" ht="15" customHeight="1">
      <c r="A11" s="54">
        <f t="shared" ref="A11:A22" si="11">IF(B11&lt;&gt;"",1,"")</f>
        <v>1</v>
      </c>
      <c r="B11" s="62">
        <f t="shared" si="6"/>
        <v>2</v>
      </c>
      <c r="C11" s="182">
        <v>40.76</v>
      </c>
      <c r="D11" s="192">
        <v>46254</v>
      </c>
      <c r="E11" s="74" t="s">
        <v>139</v>
      </c>
      <c r="G11" s="58" t="str">
        <f>IF(OR(C11="",I11="Pago"),"",C11)</f>
        <v/>
      </c>
      <c r="I11" s="130" t="s">
        <v>2</v>
      </c>
      <c r="J11" s="207">
        <f t="shared" ref="J11:J33" si="12">C11+D11</f>
        <v>46294.76</v>
      </c>
      <c r="K11" s="207" t="str">
        <f t="shared" si="7"/>
        <v/>
      </c>
      <c r="L11" s="153" t="s">
        <v>11</v>
      </c>
      <c r="M11" s="254">
        <f>IF(L11=$Y$103,MAX($M$10:M10)+1,0)</f>
        <v>0</v>
      </c>
      <c r="N11" s="261">
        <f>IF(L11=$Y$119,MAX($N$10:N10)+1,0)</f>
        <v>0</v>
      </c>
      <c r="O11" s="224" t="s">
        <v>94</v>
      </c>
      <c r="P11" s="130" t="s">
        <v>118</v>
      </c>
      <c r="Q11" s="135" t="str">
        <f t="shared" si="8"/>
        <v>8</v>
      </c>
      <c r="R11" s="132"/>
      <c r="S11" s="134" t="str">
        <f t="shared" si="9"/>
        <v/>
      </c>
      <c r="T11" s="133"/>
      <c r="V11" s="58">
        <f t="shared" si="10"/>
        <v>40.76</v>
      </c>
      <c r="W11" s="20"/>
      <c r="X11" s="30"/>
      <c r="Y11" s="837" t="s">
        <v>105</v>
      </c>
      <c r="Z11" s="838"/>
      <c r="AA11" s="839"/>
      <c r="AB11" s="840"/>
      <c r="AC11" s="49">
        <v>500</v>
      </c>
      <c r="AD11" s="59">
        <f t="shared" si="5"/>
        <v>500</v>
      </c>
      <c r="AE11" s="31"/>
      <c r="AF11" s="63" t="s">
        <v>30</v>
      </c>
      <c r="AG11" s="231">
        <f>SUMIFS($G$10:$G$168,$P$10:$P$168,"C6")</f>
        <v>0</v>
      </c>
      <c r="AH11" s="46">
        <f>SUMIFS($V$10:$V$200,$P$10:$P$200,"C6")</f>
        <v>2400.94</v>
      </c>
      <c r="AI11" s="318">
        <f t="shared" si="4"/>
        <v>2400.94</v>
      </c>
      <c r="AJ11" s="61"/>
      <c r="AK11" s="61"/>
      <c r="AL11" s="41"/>
      <c r="AN11" s="200">
        <f t="shared" si="0"/>
        <v>0</v>
      </c>
      <c r="AO11" s="196">
        <f t="shared" si="2"/>
        <v>0</v>
      </c>
      <c r="AP11" s="33" t="str">
        <f t="shared" si="3"/>
        <v/>
      </c>
      <c r="AQ11" s="99">
        <f t="shared" si="1"/>
        <v>0</v>
      </c>
      <c r="AR11" s="121"/>
      <c r="AS11" s="42"/>
      <c r="AT11" s="163"/>
      <c r="AU11" s="48"/>
      <c r="BB11" s="841"/>
      <c r="BC11" s="841"/>
      <c r="BS11" s="38" t="s">
        <v>28</v>
      </c>
    </row>
    <row r="12" spans="1:72" ht="15" customHeight="1">
      <c r="A12" s="54">
        <f t="shared" si="11"/>
        <v>1</v>
      </c>
      <c r="B12" s="62">
        <f t="shared" si="6"/>
        <v>3</v>
      </c>
      <c r="C12" s="182">
        <v>321.25</v>
      </c>
      <c r="D12" s="192">
        <v>46262</v>
      </c>
      <c r="E12" s="74" t="s">
        <v>140</v>
      </c>
      <c r="G12" s="58" t="str">
        <f>IF(OR(C12="",I12="Pago"),"",C12)</f>
        <v/>
      </c>
      <c r="I12" s="130" t="s">
        <v>2</v>
      </c>
      <c r="J12" s="207">
        <f t="shared" si="12"/>
        <v>46583.25</v>
      </c>
      <c r="K12" s="207" t="str">
        <f t="shared" si="7"/>
        <v/>
      </c>
      <c r="L12" s="153" t="s">
        <v>12</v>
      </c>
      <c r="M12" s="254">
        <f>IF(L12=$Y$103,MAX($M$10:M11)+1,0)</f>
        <v>0</v>
      </c>
      <c r="N12" s="261">
        <f>IF(L12=$Y$119,MAX($N$10:N11)+1,0)</f>
        <v>0</v>
      </c>
      <c r="O12" s="224" t="s">
        <v>94</v>
      </c>
      <c r="P12" s="130" t="s">
        <v>118</v>
      </c>
      <c r="Q12" s="135" t="str">
        <f t="shared" si="8"/>
        <v>8</v>
      </c>
      <c r="R12" s="132"/>
      <c r="S12" s="134" t="str">
        <f t="shared" si="9"/>
        <v/>
      </c>
      <c r="T12" s="133"/>
      <c r="V12" s="58">
        <f t="shared" si="10"/>
        <v>321.25</v>
      </c>
      <c r="W12" s="20"/>
      <c r="X12" s="30"/>
      <c r="Y12" s="820" t="s">
        <v>107</v>
      </c>
      <c r="Z12" s="821"/>
      <c r="AA12" s="815"/>
      <c r="AB12" s="816"/>
      <c r="AC12" s="34">
        <v>1000</v>
      </c>
      <c r="AD12" s="234">
        <f t="shared" si="5"/>
        <v>1000</v>
      </c>
      <c r="AE12" s="31"/>
      <c r="AF12" s="272" t="s">
        <v>33</v>
      </c>
      <c r="AG12" s="273">
        <f>AC50</f>
        <v>583.62999999999988</v>
      </c>
      <c r="AH12" s="274"/>
      <c r="AI12" s="316">
        <f t="shared" si="4"/>
        <v>583.62999999999988</v>
      </c>
      <c r="AJ12" s="61"/>
      <c r="AK12" s="61"/>
      <c r="AL12" s="41"/>
      <c r="AN12" s="200">
        <f t="shared" si="0"/>
        <v>0</v>
      </c>
      <c r="AO12" s="196">
        <f t="shared" si="2"/>
        <v>0</v>
      </c>
      <c r="AP12" s="33" t="str">
        <f t="shared" si="3"/>
        <v/>
      </c>
      <c r="AQ12" s="99">
        <f t="shared" si="1"/>
        <v>0</v>
      </c>
      <c r="AR12" s="121"/>
      <c r="AS12" s="42"/>
      <c r="AT12" s="163"/>
      <c r="AU12" s="48"/>
      <c r="AW12" s="785" t="s">
        <v>165</v>
      </c>
      <c r="AX12" s="786"/>
      <c r="AY12" s="787"/>
      <c r="BS12" s="38" t="s">
        <v>9</v>
      </c>
    </row>
    <row r="13" spans="1:72" ht="15" customHeight="1">
      <c r="A13" s="54">
        <f t="shared" si="11"/>
        <v>1</v>
      </c>
      <c r="B13" s="62">
        <f t="shared" si="6"/>
        <v>4</v>
      </c>
      <c r="C13" s="182">
        <v>936.24</v>
      </c>
      <c r="D13" s="192">
        <v>46241</v>
      </c>
      <c r="E13" s="74" t="s">
        <v>141</v>
      </c>
      <c r="G13" s="58" t="str">
        <f>IF(OR(C13="",I13="Pago"),"",C13)</f>
        <v/>
      </c>
      <c r="I13" s="130" t="s">
        <v>2</v>
      </c>
      <c r="J13" s="207">
        <f t="shared" si="12"/>
        <v>47177.24</v>
      </c>
      <c r="K13" s="207" t="str">
        <f t="shared" si="7"/>
        <v/>
      </c>
      <c r="L13" s="153" t="s">
        <v>19</v>
      </c>
      <c r="M13" s="254">
        <f>IF(L13=$Y$103,MAX($M$10:M12)+1,0)</f>
        <v>0</v>
      </c>
      <c r="N13" s="261">
        <f>IF(L13=$Y$119,MAX($N$10:N12)+1,0)</f>
        <v>0</v>
      </c>
      <c r="O13" s="224" t="s">
        <v>94</v>
      </c>
      <c r="P13" s="130" t="s">
        <v>118</v>
      </c>
      <c r="Q13" s="135" t="str">
        <f t="shared" si="8"/>
        <v>8</v>
      </c>
      <c r="R13" s="132"/>
      <c r="S13" s="134" t="str">
        <f t="shared" si="9"/>
        <v/>
      </c>
      <c r="T13" s="133"/>
      <c r="V13" s="58">
        <f t="shared" si="10"/>
        <v>936.24</v>
      </c>
      <c r="X13" s="30"/>
      <c r="Y13" s="822" t="s">
        <v>5</v>
      </c>
      <c r="Z13" s="823"/>
      <c r="AA13" s="824"/>
      <c r="AB13" s="825"/>
      <c r="AC13" s="49"/>
      <c r="AD13" s="233">
        <f t="shared" si="5"/>
        <v>0</v>
      </c>
      <c r="AE13" s="31"/>
      <c r="AF13" s="64"/>
      <c r="AG13" s="235"/>
      <c r="AH13" s="65"/>
      <c r="AI13" s="318">
        <f t="shared" si="4"/>
        <v>0</v>
      </c>
      <c r="AJ13" s="61"/>
      <c r="AK13" s="61"/>
      <c r="AL13" s="41"/>
      <c r="AN13" s="200">
        <f t="shared" si="0"/>
        <v>0</v>
      </c>
      <c r="AO13" s="196">
        <f t="shared" si="2"/>
        <v>0</v>
      </c>
      <c r="AP13" s="33" t="str">
        <f t="shared" si="3"/>
        <v/>
      </c>
      <c r="AQ13" s="99">
        <f t="shared" si="1"/>
        <v>0</v>
      </c>
      <c r="AR13" s="1"/>
      <c r="AS13" s="1"/>
      <c r="AT13" s="2"/>
      <c r="AU13" s="48"/>
      <c r="AW13" s="785"/>
      <c r="AX13" s="786"/>
      <c r="AY13" s="787"/>
      <c r="BD13" s="809">
        <f>IF(AX7-AW18=0,"R$ 0,00",AX7-AW18)</f>
        <v>1.1368683772161603E-13</v>
      </c>
      <c r="BE13" s="809"/>
      <c r="BS13" s="38" t="s">
        <v>5</v>
      </c>
    </row>
    <row r="14" spans="1:72" ht="15" customHeight="1">
      <c r="A14" s="54">
        <f t="shared" si="11"/>
        <v>1</v>
      </c>
      <c r="B14" s="62">
        <f t="shared" si="6"/>
        <v>5</v>
      </c>
      <c r="C14" s="182">
        <v>1491.31</v>
      </c>
      <c r="D14" s="192">
        <v>46241</v>
      </c>
      <c r="E14" s="76" t="s">
        <v>142</v>
      </c>
      <c r="G14" s="67" t="str">
        <f>IF(OR(C14="",I14="Pago"),"",C14)</f>
        <v/>
      </c>
      <c r="I14" s="130" t="s">
        <v>2</v>
      </c>
      <c r="J14" s="207">
        <f t="shared" si="12"/>
        <v>47732.31</v>
      </c>
      <c r="K14" s="207" t="str">
        <f t="shared" si="7"/>
        <v/>
      </c>
      <c r="L14" s="153" t="s">
        <v>15</v>
      </c>
      <c r="M14" s="254">
        <f>IF(L14=$Y$103,MAX($M$10:M13)+1,0)</f>
        <v>0</v>
      </c>
      <c r="N14" s="261">
        <f>IF(L14=$Y$119,MAX($N$10:N13)+1,0)</f>
        <v>0</v>
      </c>
      <c r="O14" s="224" t="s">
        <v>94</v>
      </c>
      <c r="P14" s="130" t="s">
        <v>118</v>
      </c>
      <c r="Q14" s="135" t="str">
        <f t="shared" si="8"/>
        <v>8</v>
      </c>
      <c r="R14" s="132"/>
      <c r="S14" s="134" t="str">
        <f t="shared" si="9"/>
        <v/>
      </c>
      <c r="T14" s="133"/>
      <c r="V14" s="67">
        <f t="shared" si="10"/>
        <v>1491.31</v>
      </c>
      <c r="X14" s="30"/>
      <c r="Y14" s="826" t="s">
        <v>181</v>
      </c>
      <c r="Z14" s="827"/>
      <c r="AA14" s="828"/>
      <c r="AB14" s="829"/>
      <c r="AC14" s="49"/>
      <c r="AD14" s="59">
        <f t="shared" si="5"/>
        <v>0</v>
      </c>
      <c r="AE14" s="31"/>
      <c r="AF14" s="68"/>
      <c r="AG14" s="235"/>
      <c r="AH14" s="65"/>
      <c r="AI14" s="318">
        <f t="shared" si="4"/>
        <v>0</v>
      </c>
      <c r="AJ14" s="61"/>
      <c r="AK14" s="61"/>
      <c r="AL14" s="41"/>
      <c r="AN14" s="200">
        <f t="shared" si="0"/>
        <v>0</v>
      </c>
      <c r="AO14" s="196">
        <f t="shared" si="2"/>
        <v>0</v>
      </c>
      <c r="AP14" s="33" t="str">
        <f t="shared" si="3"/>
        <v/>
      </c>
      <c r="AQ14" s="99">
        <f t="shared" si="1"/>
        <v>0</v>
      </c>
      <c r="AR14" s="1"/>
      <c r="AS14" s="1"/>
      <c r="AT14" s="2"/>
      <c r="AU14" s="48"/>
      <c r="AW14" s="797">
        <v>3963.97</v>
      </c>
      <c r="AX14" s="798"/>
      <c r="AY14" s="799"/>
      <c r="BA14" s="16"/>
      <c r="BD14" s="809"/>
      <c r="BE14" s="809"/>
      <c r="BS14" s="38" t="s">
        <v>11</v>
      </c>
    </row>
    <row r="15" spans="1:72" ht="15" customHeight="1">
      <c r="A15" s="54">
        <f t="shared" si="11"/>
        <v>1</v>
      </c>
      <c r="B15" s="69">
        <f t="shared" si="6"/>
        <v>6</v>
      </c>
      <c r="C15" s="181">
        <v>1000</v>
      </c>
      <c r="D15" s="239">
        <v>46297</v>
      </c>
      <c r="E15" s="70" t="s">
        <v>36</v>
      </c>
      <c r="F15" s="57"/>
      <c r="G15" s="71" t="str">
        <f t="shared" ref="G15:G33" si="13">IF(OR(C15="",I15="Pago"),"",C15)</f>
        <v/>
      </c>
      <c r="I15" s="152" t="s">
        <v>2</v>
      </c>
      <c r="J15" s="206">
        <f t="shared" si="12"/>
        <v>47297</v>
      </c>
      <c r="K15" s="226" t="str">
        <f t="shared" si="7"/>
        <v/>
      </c>
      <c r="L15" s="152" t="s">
        <v>106</v>
      </c>
      <c r="M15" s="253">
        <f>IF(L15=$Y$103,MAX($M$10:M14)+1,0)</f>
        <v>0</v>
      </c>
      <c r="N15" s="263">
        <f>IF(L15=$Y$119,MAX($N$10:N14)+1,0)</f>
        <v>0</v>
      </c>
      <c r="O15" s="223" t="s">
        <v>94</v>
      </c>
      <c r="P15" s="145" t="s">
        <v>118</v>
      </c>
      <c r="Q15" s="146" t="str">
        <f t="shared" si="8"/>
        <v>8</v>
      </c>
      <c r="R15" s="137"/>
      <c r="S15" s="138" t="str">
        <f t="shared" si="9"/>
        <v/>
      </c>
      <c r="T15" s="139"/>
      <c r="V15" s="58">
        <f t="shared" si="10"/>
        <v>1000</v>
      </c>
      <c r="X15" s="72"/>
      <c r="Y15" s="830"/>
      <c r="Z15" s="827"/>
      <c r="AA15" s="828"/>
      <c r="AB15" s="829"/>
      <c r="AC15" s="49"/>
      <c r="AD15" s="59">
        <f t="shared" si="5"/>
        <v>0</v>
      </c>
      <c r="AE15" s="31"/>
      <c r="AF15" s="68"/>
      <c r="AG15" s="235"/>
      <c r="AH15" s="65"/>
      <c r="AI15" s="309">
        <f t="shared" si="4"/>
        <v>0</v>
      </c>
      <c r="AJ15" s="61"/>
      <c r="AK15" s="61"/>
      <c r="AL15" s="41"/>
      <c r="AN15" s="200">
        <f t="shared" si="0"/>
        <v>0</v>
      </c>
      <c r="AO15" s="196">
        <f t="shared" si="2"/>
        <v>0</v>
      </c>
      <c r="AP15" s="33" t="str">
        <f t="shared" si="3"/>
        <v/>
      </c>
      <c r="AQ15" s="99">
        <f t="shared" si="1"/>
        <v>0</v>
      </c>
      <c r="AR15" s="1"/>
      <c r="AS15" s="1"/>
      <c r="AT15" s="2"/>
      <c r="AU15" s="48"/>
      <c r="AW15" s="797"/>
      <c r="AX15" s="798"/>
      <c r="AY15" s="799"/>
      <c r="BS15" s="38" t="s">
        <v>7</v>
      </c>
    </row>
    <row r="16" spans="1:72" ht="15" customHeight="1">
      <c r="A16" s="54">
        <f t="shared" si="11"/>
        <v>1</v>
      </c>
      <c r="B16" s="73">
        <f t="shared" si="6"/>
        <v>7</v>
      </c>
      <c r="C16" s="182">
        <v>500</v>
      </c>
      <c r="D16" s="192">
        <v>46297</v>
      </c>
      <c r="E16" s="74" t="s">
        <v>8</v>
      </c>
      <c r="G16" s="58" t="str">
        <f t="shared" si="13"/>
        <v/>
      </c>
      <c r="I16" s="153" t="s">
        <v>2</v>
      </c>
      <c r="J16" s="207">
        <f t="shared" si="12"/>
        <v>46797</v>
      </c>
      <c r="K16" s="212" t="str">
        <f t="shared" si="7"/>
        <v/>
      </c>
      <c r="L16" s="153" t="s">
        <v>106</v>
      </c>
      <c r="M16" s="254">
        <f>IF(L16=$Y$103,MAX($M$10:M15)+1,0)</f>
        <v>0</v>
      </c>
      <c r="N16" s="261">
        <f>IF(L16=$Y$119,MAX($N$10:N15)+1,0)</f>
        <v>0</v>
      </c>
      <c r="O16" s="224" t="s">
        <v>94</v>
      </c>
      <c r="P16" s="130" t="s">
        <v>118</v>
      </c>
      <c r="Q16" s="147" t="str">
        <f t="shared" si="8"/>
        <v>8</v>
      </c>
      <c r="R16" s="140"/>
      <c r="S16" s="134" t="str">
        <f t="shared" si="9"/>
        <v/>
      </c>
      <c r="T16" s="141"/>
      <c r="V16" s="58">
        <f t="shared" si="10"/>
        <v>500</v>
      </c>
      <c r="X16" s="72"/>
      <c r="Y16" s="813"/>
      <c r="Z16" s="814"/>
      <c r="AA16" s="815"/>
      <c r="AB16" s="816"/>
      <c r="AC16" s="34"/>
      <c r="AD16" s="59">
        <f t="shared" si="5"/>
        <v>0</v>
      </c>
      <c r="AE16" s="31"/>
      <c r="AF16" s="77"/>
      <c r="AG16" s="817">
        <f>SUM(AG7:AG15)</f>
        <v>883.62999999999988</v>
      </c>
      <c r="AH16" s="817">
        <f>SUM(AH7:AH15)</f>
        <v>16074.589999999997</v>
      </c>
      <c r="AI16" s="819">
        <f>SUM(AI7:AI15)</f>
        <v>16958.219999999998</v>
      </c>
      <c r="AJ16" s="61"/>
      <c r="AK16" s="61"/>
      <c r="AL16" s="41"/>
      <c r="AN16" s="200">
        <f t="shared" si="0"/>
        <v>0</v>
      </c>
      <c r="AO16" s="196">
        <f t="shared" si="2"/>
        <v>0</v>
      </c>
      <c r="AP16" s="33" t="str">
        <f t="shared" si="3"/>
        <v/>
      </c>
      <c r="AQ16" s="99">
        <f t="shared" si="1"/>
        <v>0</v>
      </c>
      <c r="AR16" s="1"/>
      <c r="AS16" s="1"/>
      <c r="AT16" s="2"/>
      <c r="AU16" s="48"/>
      <c r="AW16" s="785" t="s">
        <v>143</v>
      </c>
      <c r="AX16" s="786"/>
      <c r="AY16" s="787"/>
      <c r="BF16" s="809">
        <f>IF(AX8-AW22=0,"R$ 0,00",AX8-AW22)</f>
        <v>63.980000000000473</v>
      </c>
      <c r="BG16" s="809"/>
      <c r="BS16" s="38" t="s">
        <v>10</v>
      </c>
    </row>
    <row r="17" spans="1:71" ht="15" customHeight="1">
      <c r="A17" s="54">
        <f t="shared" si="11"/>
        <v>1</v>
      </c>
      <c r="B17" s="73">
        <f t="shared" si="6"/>
        <v>8</v>
      </c>
      <c r="C17" s="182">
        <v>100</v>
      </c>
      <c r="D17" s="192"/>
      <c r="E17" s="74" t="s">
        <v>80</v>
      </c>
      <c r="G17" s="58">
        <f t="shared" si="13"/>
        <v>100</v>
      </c>
      <c r="I17" s="153" t="s">
        <v>135</v>
      </c>
      <c r="J17" s="207">
        <f t="shared" si="12"/>
        <v>100</v>
      </c>
      <c r="K17" s="212" t="str">
        <f t="shared" si="7"/>
        <v/>
      </c>
      <c r="L17" s="153" t="s">
        <v>106</v>
      </c>
      <c r="M17" s="254">
        <f>IF(L17=$Y$103,MAX($M$10:M16)+1,0)</f>
        <v>0</v>
      </c>
      <c r="N17" s="261">
        <f>IF(L17=$Y$119,MAX($N$10:N16)+1,0)</f>
        <v>0</v>
      </c>
      <c r="O17" s="224" t="s">
        <v>94</v>
      </c>
      <c r="P17" s="130" t="s">
        <v>118</v>
      </c>
      <c r="Q17" s="147" t="str">
        <f t="shared" si="8"/>
        <v>8</v>
      </c>
      <c r="R17" s="140"/>
      <c r="S17" s="134" t="str">
        <f t="shared" si="9"/>
        <v/>
      </c>
      <c r="T17" s="141"/>
      <c r="V17" s="58" t="str">
        <f t="shared" si="10"/>
        <v/>
      </c>
      <c r="X17" s="72"/>
      <c r="Y17" s="31"/>
      <c r="Z17" s="31"/>
      <c r="AA17" s="810">
        <f>SUM(AA7:AB16)</f>
        <v>789.02</v>
      </c>
      <c r="AB17" s="811"/>
      <c r="AC17" s="812">
        <f>SUM(AC7:AC16)</f>
        <v>12460.93</v>
      </c>
      <c r="AD17" s="709">
        <f>SUM(AD7:AD16)</f>
        <v>13249.95</v>
      </c>
      <c r="AE17" s="31"/>
      <c r="AF17" s="77"/>
      <c r="AG17" s="817"/>
      <c r="AH17" s="817"/>
      <c r="AI17" s="819"/>
      <c r="AJ17" s="61"/>
      <c r="AK17" s="61"/>
      <c r="AL17" s="41"/>
      <c r="AN17" s="200">
        <f t="shared" si="0"/>
        <v>0</v>
      </c>
      <c r="AO17" s="196">
        <f t="shared" si="2"/>
        <v>0</v>
      </c>
      <c r="AP17" s="33" t="str">
        <f t="shared" si="3"/>
        <v/>
      </c>
      <c r="AQ17" s="99">
        <f t="shared" si="1"/>
        <v>0</v>
      </c>
      <c r="AR17" s="1"/>
      <c r="AS17" s="1"/>
      <c r="AT17" s="2"/>
      <c r="AU17" s="48"/>
      <c r="AW17" s="785"/>
      <c r="AX17" s="786"/>
      <c r="AY17" s="787"/>
      <c r="BF17" s="809"/>
      <c r="BG17" s="809"/>
      <c r="BS17" s="38" t="s">
        <v>12</v>
      </c>
    </row>
    <row r="18" spans="1:71" ht="15" customHeight="1">
      <c r="A18" s="54">
        <f t="shared" si="11"/>
        <v>1</v>
      </c>
      <c r="B18" s="73">
        <f t="shared" si="6"/>
        <v>9</v>
      </c>
      <c r="C18" s="182">
        <v>100</v>
      </c>
      <c r="D18" s="192"/>
      <c r="E18" s="74" t="s">
        <v>109</v>
      </c>
      <c r="G18" s="58">
        <f t="shared" si="13"/>
        <v>100</v>
      </c>
      <c r="I18" s="153" t="s">
        <v>135</v>
      </c>
      <c r="J18" s="207">
        <f t="shared" si="12"/>
        <v>100</v>
      </c>
      <c r="K18" s="212" t="str">
        <f t="shared" si="7"/>
        <v/>
      </c>
      <c r="L18" s="153" t="s">
        <v>106</v>
      </c>
      <c r="M18" s="254">
        <f>IF(L18=$Y$103,MAX($M$10:M17)+1,0)</f>
        <v>0</v>
      </c>
      <c r="N18" s="261">
        <f>IF(L18=$Y$119,MAX($N$10:N17)+1,0)</f>
        <v>0</v>
      </c>
      <c r="O18" s="224" t="s">
        <v>94</v>
      </c>
      <c r="P18" s="130" t="s">
        <v>118</v>
      </c>
      <c r="Q18" s="147" t="str">
        <f t="shared" si="8"/>
        <v>8</v>
      </c>
      <c r="R18" s="140"/>
      <c r="S18" s="134" t="str">
        <f t="shared" si="9"/>
        <v/>
      </c>
      <c r="T18" s="141"/>
      <c r="V18" s="58" t="str">
        <f t="shared" si="10"/>
        <v/>
      </c>
      <c r="X18" s="72"/>
      <c r="Y18" s="31"/>
      <c r="Z18" s="31"/>
      <c r="AA18" s="678"/>
      <c r="AB18" s="711"/>
      <c r="AC18" s="544"/>
      <c r="AD18" s="592"/>
      <c r="AE18" s="31"/>
      <c r="AF18" s="77"/>
      <c r="AG18" s="818"/>
      <c r="AH18" s="818"/>
      <c r="AI18" s="760"/>
      <c r="AJ18" s="61"/>
      <c r="AK18" s="61"/>
      <c r="AL18" s="41"/>
      <c r="AN18" s="200">
        <f t="shared" si="0"/>
        <v>0</v>
      </c>
      <c r="AO18" s="196">
        <f t="shared" si="2"/>
        <v>0</v>
      </c>
      <c r="AP18" s="33" t="str">
        <f t="shared" si="3"/>
        <v/>
      </c>
      <c r="AQ18" s="99">
        <f t="shared" si="1"/>
        <v>0</v>
      </c>
      <c r="AR18" s="1"/>
      <c r="AS18" s="1"/>
      <c r="AT18" s="2"/>
      <c r="AU18" s="48"/>
      <c r="AW18" s="797">
        <v>582.16</v>
      </c>
      <c r="AX18" s="798"/>
      <c r="AY18" s="799"/>
      <c r="BS18" s="38" t="s">
        <v>44</v>
      </c>
    </row>
    <row r="19" spans="1:71" ht="15" customHeight="1">
      <c r="A19" s="54">
        <f t="shared" si="11"/>
        <v>1</v>
      </c>
      <c r="B19" s="75">
        <f t="shared" si="6"/>
        <v>10</v>
      </c>
      <c r="C19" s="183">
        <v>100</v>
      </c>
      <c r="D19" s="194"/>
      <c r="E19" s="76" t="s">
        <v>110</v>
      </c>
      <c r="G19" s="58">
        <f t="shared" si="13"/>
        <v>100</v>
      </c>
      <c r="I19" s="154" t="s">
        <v>135</v>
      </c>
      <c r="J19" s="208">
        <f t="shared" si="12"/>
        <v>100</v>
      </c>
      <c r="K19" s="227" t="str">
        <f t="shared" si="7"/>
        <v/>
      </c>
      <c r="L19" s="154" t="s">
        <v>106</v>
      </c>
      <c r="M19" s="255">
        <f>IF(L19=$Y$103,MAX($M$10:M18)+1,0)</f>
        <v>0</v>
      </c>
      <c r="N19" s="262">
        <f>IF(L19=$Y$119,MAX($N$10:N18)+1,0)</f>
        <v>0</v>
      </c>
      <c r="O19" s="225" t="s">
        <v>94</v>
      </c>
      <c r="P19" s="148" t="s">
        <v>118</v>
      </c>
      <c r="Q19" s="149" t="str">
        <f t="shared" si="8"/>
        <v>8</v>
      </c>
      <c r="R19" s="142"/>
      <c r="S19" s="143" t="str">
        <f t="shared" si="9"/>
        <v/>
      </c>
      <c r="T19" s="144"/>
      <c r="V19" s="58" t="str">
        <f t="shared" si="10"/>
        <v/>
      </c>
      <c r="X19" s="72"/>
      <c r="Y19" s="31"/>
      <c r="Z19" s="31"/>
      <c r="AA19" s="31"/>
      <c r="AB19" s="31"/>
      <c r="AC19" s="31"/>
      <c r="AD19" s="31"/>
      <c r="AE19" s="31"/>
      <c r="AF19" s="77"/>
      <c r="AG19" s="31"/>
      <c r="AH19" s="31"/>
      <c r="AI19" s="31"/>
      <c r="AJ19" s="31"/>
      <c r="AK19" s="31"/>
      <c r="AL19" s="78"/>
      <c r="AN19" s="200">
        <f t="shared" si="0"/>
        <v>0</v>
      </c>
      <c r="AO19" s="196">
        <f t="shared" si="2"/>
        <v>0</v>
      </c>
      <c r="AP19" s="33" t="str">
        <f t="shared" si="3"/>
        <v/>
      </c>
      <c r="AQ19" s="99">
        <f t="shared" si="1"/>
        <v>0</v>
      </c>
      <c r="AR19" s="1"/>
      <c r="AS19" s="1"/>
      <c r="AT19" s="2"/>
      <c r="AU19" s="48"/>
      <c r="AW19" s="797"/>
      <c r="AX19" s="798"/>
      <c r="AY19" s="799"/>
      <c r="BS19" s="38" t="s">
        <v>13</v>
      </c>
    </row>
    <row r="20" spans="1:71" ht="15" customHeight="1">
      <c r="A20" s="54">
        <f t="shared" si="11"/>
        <v>1</v>
      </c>
      <c r="B20" s="62">
        <f t="shared" si="6"/>
        <v>11</v>
      </c>
      <c r="C20" s="182">
        <v>59.9</v>
      </c>
      <c r="D20" s="193">
        <v>46257</v>
      </c>
      <c r="E20" s="79" t="s">
        <v>17</v>
      </c>
      <c r="F20" s="57"/>
      <c r="G20" s="71" t="str">
        <f t="shared" si="13"/>
        <v/>
      </c>
      <c r="I20" s="130" t="s">
        <v>2</v>
      </c>
      <c r="J20" s="207">
        <f t="shared" si="12"/>
        <v>46316.9</v>
      </c>
      <c r="K20" s="207">
        <f t="shared" si="7"/>
        <v>46316.9</v>
      </c>
      <c r="L20" s="153" t="s">
        <v>16</v>
      </c>
      <c r="M20" s="254">
        <f>IF(L20=$Y$103,MAX($M$10:M19)+1,0)</f>
        <v>0</v>
      </c>
      <c r="N20" s="261">
        <f>IF(L20=$Y$119,MAX($N$10:N19)+1,0)</f>
        <v>0</v>
      </c>
      <c r="O20" s="224" t="s">
        <v>94</v>
      </c>
      <c r="P20" s="130" t="s">
        <v>95</v>
      </c>
      <c r="Q20" s="135" t="str">
        <f t="shared" si="8"/>
        <v>P</v>
      </c>
      <c r="R20" s="132"/>
      <c r="S20" s="134" t="str">
        <f t="shared" si="9"/>
        <v/>
      </c>
      <c r="T20" s="133"/>
      <c r="V20" s="71">
        <f t="shared" si="10"/>
        <v>59.9</v>
      </c>
      <c r="X20" s="72"/>
      <c r="Y20" s="31"/>
      <c r="Z20" s="31"/>
      <c r="AA20" s="31"/>
      <c r="AB20" s="31"/>
      <c r="AC20" s="31"/>
      <c r="AD20" s="31"/>
      <c r="AE20" s="31"/>
      <c r="AF20" s="31"/>
      <c r="AG20" s="77"/>
      <c r="AH20" s="31"/>
      <c r="AI20" s="31"/>
      <c r="AJ20" s="31"/>
      <c r="AK20" s="31"/>
      <c r="AL20" s="78"/>
      <c r="AN20" s="200">
        <f t="shared" si="0"/>
        <v>0</v>
      </c>
      <c r="AO20" s="196">
        <f t="shared" si="2"/>
        <v>0</v>
      </c>
      <c r="AP20" s="33" t="str">
        <f t="shared" si="3"/>
        <v/>
      </c>
      <c r="AQ20" s="99">
        <f t="shared" si="1"/>
        <v>0</v>
      </c>
      <c r="AR20" s="1"/>
      <c r="AS20" s="1"/>
      <c r="AT20" s="2"/>
      <c r="AU20" s="48"/>
      <c r="AW20" s="785" t="s">
        <v>144</v>
      </c>
      <c r="AX20" s="786"/>
      <c r="AY20" s="787"/>
      <c r="BS20" s="38" t="s">
        <v>29</v>
      </c>
    </row>
    <row r="21" spans="1:71" ht="15" customHeight="1">
      <c r="A21" s="54">
        <f t="shared" si="11"/>
        <v>1</v>
      </c>
      <c r="B21" s="62">
        <f t="shared" si="6"/>
        <v>12</v>
      </c>
      <c r="C21" s="182">
        <v>11.9</v>
      </c>
      <c r="D21" s="192"/>
      <c r="E21" s="177" t="s">
        <v>174</v>
      </c>
      <c r="G21" s="58" t="str">
        <f t="shared" si="13"/>
        <v/>
      </c>
      <c r="I21" s="130" t="s">
        <v>2</v>
      </c>
      <c r="J21" s="207">
        <f t="shared" si="12"/>
        <v>11.9</v>
      </c>
      <c r="K21" s="207" t="str">
        <f t="shared" si="7"/>
        <v/>
      </c>
      <c r="L21" s="153" t="s">
        <v>16</v>
      </c>
      <c r="M21" s="254">
        <f>IF(L21=$Y$103,MAX($M$10:M20)+1,0)</f>
        <v>0</v>
      </c>
      <c r="N21" s="261">
        <f>IF(L21=$Y$119,MAX($N$10:N20)+1,0)</f>
        <v>0</v>
      </c>
      <c r="O21" s="224" t="s">
        <v>94</v>
      </c>
      <c r="P21" s="130" t="s">
        <v>118</v>
      </c>
      <c r="Q21" s="135" t="str">
        <f t="shared" si="8"/>
        <v>8</v>
      </c>
      <c r="R21" s="132"/>
      <c r="S21" s="134" t="str">
        <f t="shared" si="9"/>
        <v/>
      </c>
      <c r="T21" s="133"/>
      <c r="V21" s="58">
        <f t="shared" si="10"/>
        <v>11.9</v>
      </c>
      <c r="X21" s="30"/>
      <c r="Y21" s="31"/>
      <c r="Z21" s="31"/>
      <c r="AA21" s="31"/>
      <c r="AB21" s="31"/>
      <c r="AC21" s="788" t="str">
        <f>IF(AD21&lt;0,"S",IF(AD21&gt;0,"A",""))</f>
        <v>S</v>
      </c>
      <c r="AD21" s="791">
        <f>AA17-AG16</f>
        <v>-94.6099999999999</v>
      </c>
      <c r="AE21" s="791"/>
      <c r="AF21" s="791"/>
      <c r="AG21" s="794" t="str">
        <f>IF(AD21&lt;0,"S",IF(AD21&gt;0,"A",""))</f>
        <v>S</v>
      </c>
      <c r="AH21" s="31"/>
      <c r="AI21" s="31"/>
      <c r="AJ21" s="61"/>
      <c r="AK21" s="61"/>
      <c r="AL21" s="78"/>
      <c r="AN21" s="200">
        <f t="shared" si="0"/>
        <v>0</v>
      </c>
      <c r="AO21" s="196">
        <f t="shared" si="2"/>
        <v>0</v>
      </c>
      <c r="AP21" s="33" t="str">
        <f t="shared" si="3"/>
        <v/>
      </c>
      <c r="AQ21" s="99">
        <f t="shared" si="1"/>
        <v>0</v>
      </c>
      <c r="AR21" s="1"/>
      <c r="AS21" s="1"/>
      <c r="AT21" s="2"/>
      <c r="AU21" s="48"/>
      <c r="AW21" s="785"/>
      <c r="AX21" s="786"/>
      <c r="AY21" s="787"/>
      <c r="BS21" s="122" t="s">
        <v>145</v>
      </c>
    </row>
    <row r="22" spans="1:71" ht="15" customHeight="1">
      <c r="A22" s="54">
        <f t="shared" si="11"/>
        <v>1</v>
      </c>
      <c r="B22" s="62">
        <f t="shared" si="6"/>
        <v>13</v>
      </c>
      <c r="C22" s="182">
        <v>26.9</v>
      </c>
      <c r="D22" s="192">
        <v>46271</v>
      </c>
      <c r="E22" s="79" t="s">
        <v>180</v>
      </c>
      <c r="G22" s="58" t="str">
        <f t="shared" si="13"/>
        <v/>
      </c>
      <c r="I22" s="130" t="s">
        <v>2</v>
      </c>
      <c r="J22" s="207">
        <f t="shared" si="12"/>
        <v>46297.9</v>
      </c>
      <c r="K22" s="207">
        <f t="shared" si="7"/>
        <v>46297.9</v>
      </c>
      <c r="L22" s="153" t="s">
        <v>16</v>
      </c>
      <c r="M22" s="254">
        <f>IF(L22=$Y$103,MAX($M$10:M21)+1,0)</f>
        <v>0</v>
      </c>
      <c r="N22" s="261">
        <f>IF(L22=$Y$119,MAX($N$10:N21)+1,0)</f>
        <v>0</v>
      </c>
      <c r="O22" s="224" t="s">
        <v>94</v>
      </c>
      <c r="P22" s="130" t="s">
        <v>90</v>
      </c>
      <c r="Q22" s="135" t="str">
        <f t="shared" si="8"/>
        <v>P</v>
      </c>
      <c r="R22" s="132"/>
      <c r="S22" s="134" t="str">
        <f t="shared" si="9"/>
        <v/>
      </c>
      <c r="T22" s="133"/>
      <c r="V22" s="58">
        <f t="shared" si="10"/>
        <v>26.9</v>
      </c>
      <c r="X22" s="30"/>
      <c r="Y22" s="31"/>
      <c r="Z22" s="31"/>
      <c r="AA22" s="31"/>
      <c r="AB22" s="31"/>
      <c r="AC22" s="789"/>
      <c r="AD22" s="792"/>
      <c r="AE22" s="792"/>
      <c r="AF22" s="792"/>
      <c r="AG22" s="795"/>
      <c r="AH22" s="31"/>
      <c r="AI22" s="31"/>
      <c r="AJ22" s="61"/>
      <c r="AK22" s="61"/>
      <c r="AL22" s="78"/>
      <c r="AN22" s="200">
        <f t="shared" si="0"/>
        <v>0</v>
      </c>
      <c r="AO22" s="196">
        <f t="shared" si="2"/>
        <v>0</v>
      </c>
      <c r="AP22" s="33" t="str">
        <f t="shared" si="3"/>
        <v/>
      </c>
      <c r="AQ22" s="99">
        <f t="shared" si="1"/>
        <v>0</v>
      </c>
      <c r="AR22" s="1"/>
      <c r="AS22" s="1"/>
      <c r="AT22" s="2"/>
      <c r="AU22" s="48"/>
      <c r="AW22" s="797">
        <v>1586.79</v>
      </c>
      <c r="AX22" s="798"/>
      <c r="AY22" s="799"/>
      <c r="BS22" s="38" t="s">
        <v>27</v>
      </c>
    </row>
    <row r="23" spans="1:71" ht="15" customHeight="1">
      <c r="A23" s="54" t="e">
        <f>IF(#REF!&lt;&gt;"",1,"")</f>
        <v>#REF!</v>
      </c>
      <c r="B23" s="62">
        <f t="shared" si="6"/>
        <v>14</v>
      </c>
      <c r="C23" s="182">
        <v>10</v>
      </c>
      <c r="D23" s="192"/>
      <c r="E23" s="177" t="s">
        <v>173</v>
      </c>
      <c r="G23" s="58" t="str">
        <f t="shared" si="13"/>
        <v/>
      </c>
      <c r="I23" s="130" t="s">
        <v>2</v>
      </c>
      <c r="J23" s="207">
        <f t="shared" si="12"/>
        <v>10</v>
      </c>
      <c r="K23" s="207" t="str">
        <f t="shared" si="7"/>
        <v/>
      </c>
      <c r="L23" s="153" t="s">
        <v>16</v>
      </c>
      <c r="M23" s="254">
        <f>IF(L23=$Y$103,MAX($M$10:M22)+1,0)</f>
        <v>0</v>
      </c>
      <c r="N23" s="261">
        <f>IF(L23=$Y$119,MAX($N$10:N22)+1,0)</f>
        <v>0</v>
      </c>
      <c r="O23" s="224" t="s">
        <v>94</v>
      </c>
      <c r="P23" s="130" t="s">
        <v>118</v>
      </c>
      <c r="Q23" s="135" t="str">
        <f t="shared" si="8"/>
        <v>8</v>
      </c>
      <c r="R23" s="132"/>
      <c r="S23" s="134" t="str">
        <f t="shared" si="9"/>
        <v/>
      </c>
      <c r="T23" s="133"/>
      <c r="V23" s="58">
        <f t="shared" si="10"/>
        <v>10</v>
      </c>
      <c r="X23" s="30"/>
      <c r="Y23" s="31"/>
      <c r="Z23" s="31"/>
      <c r="AA23" s="31"/>
      <c r="AB23" s="31"/>
      <c r="AC23" s="790"/>
      <c r="AD23" s="793"/>
      <c r="AE23" s="793"/>
      <c r="AF23" s="793"/>
      <c r="AG23" s="796"/>
      <c r="AH23" s="31"/>
      <c r="AI23" s="31"/>
      <c r="AJ23" s="61"/>
      <c r="AK23" s="61"/>
      <c r="AL23" s="78"/>
      <c r="AN23" s="200">
        <f t="shared" si="0"/>
        <v>0</v>
      </c>
      <c r="AO23" s="196">
        <f t="shared" si="2"/>
        <v>0</v>
      </c>
      <c r="AP23" s="33" t="str">
        <f t="shared" si="3"/>
        <v/>
      </c>
      <c r="AQ23" s="99">
        <f t="shared" si="1"/>
        <v>0</v>
      </c>
      <c r="AR23" s="1"/>
      <c r="AS23" s="1"/>
      <c r="AT23" s="2"/>
      <c r="AU23" s="48"/>
      <c r="AW23" s="800"/>
      <c r="AX23" s="801"/>
      <c r="AY23" s="802"/>
      <c r="BS23" s="38" t="s">
        <v>16</v>
      </c>
    </row>
    <row r="24" spans="1:71" ht="15" customHeight="1">
      <c r="A24" s="54">
        <f t="shared" ref="A24:A55" si="14">IF(B23&lt;&gt;"",1,"")</f>
        <v>1</v>
      </c>
      <c r="B24" s="62">
        <f t="shared" si="6"/>
        <v>15</v>
      </c>
      <c r="C24" s="182">
        <v>19.899999999999999</v>
      </c>
      <c r="D24" s="192"/>
      <c r="E24" s="177" t="s">
        <v>172</v>
      </c>
      <c r="G24" s="58" t="str">
        <f t="shared" si="13"/>
        <v/>
      </c>
      <c r="I24" s="130" t="s">
        <v>2</v>
      </c>
      <c r="J24" s="207">
        <f t="shared" si="12"/>
        <v>19.899999999999999</v>
      </c>
      <c r="K24" s="207" t="str">
        <f t="shared" si="7"/>
        <v/>
      </c>
      <c r="L24" s="153" t="s">
        <v>16</v>
      </c>
      <c r="M24" s="254">
        <f>IF(L24=$Y$103,MAX($M$10:M23)+1,0)</f>
        <v>0</v>
      </c>
      <c r="N24" s="261">
        <f>IF(L24=$Y$119,MAX($N$10:N23)+1,0)</f>
        <v>0</v>
      </c>
      <c r="O24" s="224" t="s">
        <v>94</v>
      </c>
      <c r="P24" s="130" t="s">
        <v>118</v>
      </c>
      <c r="Q24" s="135" t="str">
        <f t="shared" si="8"/>
        <v>8</v>
      </c>
      <c r="R24" s="132"/>
      <c r="S24" s="134" t="str">
        <f t="shared" si="9"/>
        <v/>
      </c>
      <c r="T24" s="133"/>
      <c r="V24" s="58">
        <f t="shared" si="10"/>
        <v>19.899999999999999</v>
      </c>
      <c r="X24" s="80"/>
      <c r="Y24" s="81"/>
      <c r="Z24" s="81"/>
      <c r="AA24" s="81"/>
      <c r="AB24" s="81"/>
      <c r="AC24" s="81"/>
      <c r="AD24" s="81"/>
      <c r="AE24" s="81"/>
      <c r="AF24" s="81"/>
      <c r="AG24" s="81"/>
      <c r="AH24" s="82"/>
      <c r="AI24" s="82"/>
      <c r="AJ24" s="82"/>
      <c r="AK24" s="82"/>
      <c r="AL24" s="83"/>
      <c r="AN24" s="200">
        <f t="shared" si="0"/>
        <v>0</v>
      </c>
      <c r="AO24" s="196">
        <f t="shared" si="2"/>
        <v>0</v>
      </c>
      <c r="AP24" s="33" t="str">
        <f t="shared" si="3"/>
        <v/>
      </c>
      <c r="AQ24" s="99">
        <f t="shared" si="1"/>
        <v>0</v>
      </c>
      <c r="AR24" s="1"/>
      <c r="AS24" s="1"/>
      <c r="AT24" s="2"/>
      <c r="AU24" s="48"/>
      <c r="AW24" s="803">
        <f>SUM(AW14,AW18,AW22)</f>
        <v>6132.92</v>
      </c>
      <c r="AX24" s="804"/>
      <c r="AY24" s="805"/>
      <c r="BS24" s="38" t="s">
        <v>37</v>
      </c>
    </row>
    <row r="25" spans="1:71" ht="15" customHeight="1">
      <c r="A25" s="54">
        <f t="shared" si="14"/>
        <v>1</v>
      </c>
      <c r="B25" s="62">
        <f t="shared" si="6"/>
        <v>16</v>
      </c>
      <c r="C25" s="182">
        <v>34.9</v>
      </c>
      <c r="D25" s="192"/>
      <c r="E25" s="178" t="s">
        <v>175</v>
      </c>
      <c r="G25" s="58" t="str">
        <f t="shared" si="13"/>
        <v/>
      </c>
      <c r="I25" s="130" t="s">
        <v>2</v>
      </c>
      <c r="J25" s="207">
        <f t="shared" si="12"/>
        <v>34.9</v>
      </c>
      <c r="K25" s="207" t="str">
        <f t="shared" si="7"/>
        <v/>
      </c>
      <c r="L25" s="153" t="s">
        <v>16</v>
      </c>
      <c r="M25" s="254">
        <f>IF(L25=$Y$103,MAX($M$10:M24)+1,0)</f>
        <v>0</v>
      </c>
      <c r="N25" s="261">
        <f>IF(L25=$Y$119,MAX($N$10:N24)+1,0)</f>
        <v>0</v>
      </c>
      <c r="O25" s="224" t="s">
        <v>94</v>
      </c>
      <c r="P25" s="130" t="s">
        <v>118</v>
      </c>
      <c r="Q25" s="135" t="str">
        <f t="shared" si="8"/>
        <v>8</v>
      </c>
      <c r="R25" s="132"/>
      <c r="S25" s="134" t="str">
        <f t="shared" si="9"/>
        <v/>
      </c>
      <c r="T25" s="133"/>
      <c r="V25" s="58">
        <f t="shared" si="10"/>
        <v>34.9</v>
      </c>
      <c r="AN25" s="200">
        <f t="shared" si="0"/>
        <v>0</v>
      </c>
      <c r="AO25" s="196">
        <f t="shared" si="2"/>
        <v>0</v>
      </c>
      <c r="AP25" s="33" t="str">
        <f t="shared" si="3"/>
        <v/>
      </c>
      <c r="AQ25" s="99">
        <f t="shared" si="1"/>
        <v>0</v>
      </c>
      <c r="AR25" s="1"/>
      <c r="AS25" s="1"/>
      <c r="AT25" s="2"/>
      <c r="AU25" s="48"/>
      <c r="AW25" s="806"/>
      <c r="AX25" s="807"/>
      <c r="AY25" s="808"/>
    </row>
    <row r="26" spans="1:71" ht="15" customHeight="1">
      <c r="A26" s="54">
        <f t="shared" si="14"/>
        <v>1</v>
      </c>
      <c r="B26" s="62">
        <f t="shared" si="6"/>
        <v>17</v>
      </c>
      <c r="C26" s="182">
        <v>31.43</v>
      </c>
      <c r="D26" s="192">
        <v>46241</v>
      </c>
      <c r="E26" s="85" t="s">
        <v>62</v>
      </c>
      <c r="G26" s="58" t="str">
        <f t="shared" si="13"/>
        <v/>
      </c>
      <c r="I26" s="130" t="s">
        <v>2</v>
      </c>
      <c r="J26" s="207">
        <f t="shared" si="12"/>
        <v>46272.43</v>
      </c>
      <c r="K26" s="207" t="str">
        <f t="shared" si="7"/>
        <v/>
      </c>
      <c r="L26" s="153" t="s">
        <v>16</v>
      </c>
      <c r="M26" s="254">
        <f>IF(L26=$Y$103,MAX($M$10:M25)+1,0)</f>
        <v>0</v>
      </c>
      <c r="N26" s="261">
        <f>IF(L26=$Y$119,MAX($N$10:N25)+1,0)</f>
        <v>0</v>
      </c>
      <c r="O26" s="224" t="s">
        <v>94</v>
      </c>
      <c r="P26" s="130" t="s">
        <v>90</v>
      </c>
      <c r="Q26" s="135" t="str">
        <f t="shared" si="8"/>
        <v>O</v>
      </c>
      <c r="R26" s="132"/>
      <c r="S26" s="134" t="str">
        <f t="shared" si="9"/>
        <v/>
      </c>
      <c r="T26" s="133"/>
      <c r="V26" s="58">
        <f t="shared" si="10"/>
        <v>31.43</v>
      </c>
      <c r="X26" s="57"/>
      <c r="Y26" s="179"/>
      <c r="Z26" s="57"/>
      <c r="AA26" s="24"/>
      <c r="AB26" s="24"/>
      <c r="AC26" s="57"/>
      <c r="AD26" s="57"/>
      <c r="AE26" s="6"/>
      <c r="AF26" s="57"/>
      <c r="AG26" s="57"/>
      <c r="AH26" s="57"/>
      <c r="AI26" s="57"/>
      <c r="AJ26" s="57"/>
      <c r="AK26" s="3"/>
      <c r="AL26" s="3"/>
      <c r="AM26" s="3"/>
      <c r="AN26" s="200">
        <f t="shared" si="0"/>
        <v>0</v>
      </c>
      <c r="AO26" s="196">
        <f t="shared" si="2"/>
        <v>0</v>
      </c>
      <c r="AP26" s="33" t="str">
        <f t="shared" si="3"/>
        <v/>
      </c>
      <c r="AQ26" s="99">
        <f t="shared" si="1"/>
        <v>0</v>
      </c>
      <c r="AR26" s="1"/>
      <c r="AS26" s="1"/>
      <c r="AT26" s="2"/>
      <c r="AU26" s="48"/>
      <c r="AV26" s="17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3"/>
      <c r="BQ26" s="5"/>
      <c r="BR26" s="5"/>
    </row>
    <row r="27" spans="1:71" ht="15" customHeight="1">
      <c r="A27" s="54">
        <f t="shared" si="14"/>
        <v>1</v>
      </c>
      <c r="B27" s="62">
        <f t="shared" si="6"/>
        <v>18</v>
      </c>
      <c r="C27" s="182">
        <v>24.9</v>
      </c>
      <c r="D27" s="192">
        <v>46256</v>
      </c>
      <c r="E27" s="185" t="s">
        <v>167</v>
      </c>
      <c r="G27" s="58" t="str">
        <f t="shared" si="13"/>
        <v/>
      </c>
      <c r="I27" s="130" t="s">
        <v>2</v>
      </c>
      <c r="J27" s="207">
        <f t="shared" si="12"/>
        <v>46280.9</v>
      </c>
      <c r="K27" s="207">
        <f t="shared" si="7"/>
        <v>46280.9</v>
      </c>
      <c r="L27" s="153" t="s">
        <v>16</v>
      </c>
      <c r="M27" s="254">
        <f>IF(L27=$Y$103,MAX($M$10:M26)+1,0)</f>
        <v>0</v>
      </c>
      <c r="N27" s="261">
        <f>IF(L27=$Y$119,MAX($N$10:N26)+1,0)</f>
        <v>0</v>
      </c>
      <c r="O27" s="224" t="s">
        <v>98</v>
      </c>
      <c r="P27" s="130" t="s">
        <v>90</v>
      </c>
      <c r="Q27" s="135" t="str">
        <f t="shared" si="8"/>
        <v>P</v>
      </c>
      <c r="R27" s="132"/>
      <c r="S27" s="134" t="str">
        <f t="shared" si="9"/>
        <v/>
      </c>
      <c r="T27" s="133"/>
      <c r="V27" s="58">
        <f t="shared" si="10"/>
        <v>24.9</v>
      </c>
      <c r="X27" s="21"/>
      <c r="Y27" s="22"/>
      <c r="Z27" s="22"/>
      <c r="AA27" s="22"/>
      <c r="AB27" s="22"/>
      <c r="AC27" s="86"/>
      <c r="AD27" s="86"/>
      <c r="AE27" s="86"/>
      <c r="AF27" s="86"/>
      <c r="AG27" s="86"/>
      <c r="AH27" s="86"/>
      <c r="AI27" s="107"/>
      <c r="AJ27" s="84"/>
      <c r="AK27" s="84"/>
      <c r="AL27" s="84"/>
      <c r="AM27" s="84"/>
      <c r="AN27" s="200">
        <f t="shared" si="0"/>
        <v>0</v>
      </c>
      <c r="AO27" s="196">
        <f t="shared" si="2"/>
        <v>0</v>
      </c>
      <c r="AP27" s="33" t="str">
        <f t="shared" si="3"/>
        <v/>
      </c>
      <c r="AQ27" s="99">
        <f t="shared" si="1"/>
        <v>0</v>
      </c>
      <c r="AR27" s="1"/>
      <c r="AS27" s="1"/>
      <c r="AT27" s="2"/>
      <c r="AU27" s="48"/>
      <c r="AV27" s="17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3"/>
      <c r="BQ27" s="5"/>
      <c r="BR27" s="5"/>
    </row>
    <row r="28" spans="1:71" ht="15" customHeight="1">
      <c r="A28" s="54">
        <f t="shared" si="14"/>
        <v>1</v>
      </c>
      <c r="B28" s="69">
        <f t="shared" si="6"/>
        <v>19</v>
      </c>
      <c r="C28" s="181">
        <v>248.91</v>
      </c>
      <c r="D28" s="239">
        <v>46254</v>
      </c>
      <c r="E28" s="186" t="s">
        <v>47</v>
      </c>
      <c r="F28" s="57"/>
      <c r="G28" s="71" t="str">
        <f t="shared" si="13"/>
        <v/>
      </c>
      <c r="I28" s="152" t="s">
        <v>2</v>
      </c>
      <c r="J28" s="220">
        <f t="shared" si="12"/>
        <v>46502.91</v>
      </c>
      <c r="K28" s="226">
        <f t="shared" si="7"/>
        <v>46502.91</v>
      </c>
      <c r="L28" s="248" t="s">
        <v>29</v>
      </c>
      <c r="M28" s="253">
        <f>IF(L28=$Y$103,MAX($M$10:M27)+1,0)</f>
        <v>0</v>
      </c>
      <c r="N28" s="263">
        <f>IF(L28=$Y$119,MAX($N$10:N27)+1,0)</f>
        <v>0</v>
      </c>
      <c r="O28" s="223" t="s">
        <v>94</v>
      </c>
      <c r="P28" s="145" t="s">
        <v>99</v>
      </c>
      <c r="Q28" s="146" t="str">
        <f t="shared" si="8"/>
        <v>P</v>
      </c>
      <c r="R28" s="137"/>
      <c r="S28" s="138" t="str">
        <f t="shared" si="9"/>
        <v/>
      </c>
      <c r="T28" s="139"/>
      <c r="V28" s="71">
        <f t="shared" si="10"/>
        <v>248.91</v>
      </c>
      <c r="X28" s="30"/>
      <c r="Y28" s="563" t="s">
        <v>159</v>
      </c>
      <c r="Z28" s="88"/>
      <c r="AA28" s="542" t="s">
        <v>0</v>
      </c>
      <c r="AB28" s="88"/>
      <c r="AC28" s="777" t="s">
        <v>33</v>
      </c>
      <c r="AD28" s="783" t="s">
        <v>97</v>
      </c>
      <c r="AE28" s="779" t="s">
        <v>90</v>
      </c>
      <c r="AF28" s="779" t="s">
        <v>95</v>
      </c>
      <c r="AG28" s="779" t="s">
        <v>99</v>
      </c>
      <c r="AH28" s="779" t="s">
        <v>8</v>
      </c>
      <c r="AI28" s="108"/>
      <c r="AJ28" s="84"/>
      <c r="AK28" s="84"/>
      <c r="AL28" s="84"/>
      <c r="AM28" s="84"/>
      <c r="AN28" s="200">
        <f t="shared" si="0"/>
        <v>0</v>
      </c>
      <c r="AO28" s="196">
        <f t="shared" si="2"/>
        <v>0</v>
      </c>
      <c r="AP28" s="33" t="str">
        <f t="shared" si="3"/>
        <v/>
      </c>
      <c r="AQ28" s="99">
        <f t="shared" si="1"/>
        <v>0</v>
      </c>
      <c r="AR28" s="1"/>
      <c r="AS28" s="1"/>
      <c r="AT28" s="2"/>
      <c r="AU28" s="48"/>
      <c r="AV28" s="17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3"/>
      <c r="BQ28" s="5"/>
      <c r="BR28" s="5"/>
    </row>
    <row r="29" spans="1:71" ht="15" customHeight="1">
      <c r="A29" s="54">
        <f t="shared" si="14"/>
        <v>1</v>
      </c>
      <c r="B29" s="73">
        <f t="shared" si="6"/>
        <v>20</v>
      </c>
      <c r="C29" s="182">
        <v>12.15</v>
      </c>
      <c r="D29" s="192">
        <v>46254</v>
      </c>
      <c r="E29" s="187" t="s">
        <v>76</v>
      </c>
      <c r="G29" s="58" t="str">
        <f t="shared" si="13"/>
        <v/>
      </c>
      <c r="I29" s="153" t="s">
        <v>2</v>
      </c>
      <c r="J29" s="221">
        <f t="shared" si="12"/>
        <v>46266.15</v>
      </c>
      <c r="K29" s="212">
        <f t="shared" si="7"/>
        <v>46266.15</v>
      </c>
      <c r="L29" s="249" t="s">
        <v>29</v>
      </c>
      <c r="M29" s="254">
        <f>IF(L29=$Y$103,MAX($M$10:M28)+1,0)</f>
        <v>0</v>
      </c>
      <c r="N29" s="261">
        <f>IF(L29=$Y$119,MAX($N$10:N28)+1,0)</f>
        <v>0</v>
      </c>
      <c r="O29" s="224" t="s">
        <v>94</v>
      </c>
      <c r="P29" s="130" t="s">
        <v>99</v>
      </c>
      <c r="Q29" s="147" t="str">
        <f t="shared" si="8"/>
        <v>P</v>
      </c>
      <c r="R29" s="140"/>
      <c r="S29" s="134" t="str">
        <f t="shared" si="9"/>
        <v/>
      </c>
      <c r="T29" s="141"/>
      <c r="V29" s="58">
        <f t="shared" si="10"/>
        <v>12.15</v>
      </c>
      <c r="X29" s="30"/>
      <c r="Y29" s="564"/>
      <c r="Z29" s="88"/>
      <c r="AA29" s="543"/>
      <c r="AB29" s="88"/>
      <c r="AC29" s="778"/>
      <c r="AD29" s="784"/>
      <c r="AE29" s="780"/>
      <c r="AF29" s="780"/>
      <c r="AG29" s="780"/>
      <c r="AH29" s="780"/>
      <c r="AI29" s="108"/>
      <c r="AJ29" s="84"/>
      <c r="AK29" s="84"/>
      <c r="AL29" s="84"/>
      <c r="AM29" s="84"/>
      <c r="AN29" s="200">
        <f t="shared" si="0"/>
        <v>0</v>
      </c>
      <c r="AO29" s="196">
        <f t="shared" si="2"/>
        <v>0</v>
      </c>
      <c r="AP29" s="33" t="str">
        <f t="shared" si="3"/>
        <v/>
      </c>
      <c r="AQ29" s="99">
        <f t="shared" si="1"/>
        <v>0</v>
      </c>
      <c r="AR29" s="1"/>
      <c r="AS29" s="1"/>
      <c r="AT29" s="2"/>
      <c r="AU29" s="48"/>
      <c r="AV29" s="17"/>
      <c r="AW29" s="13"/>
      <c r="AX29" s="5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3"/>
      <c r="BQ29" s="5"/>
      <c r="BR29" s="5"/>
    </row>
    <row r="30" spans="1:71" ht="15" customHeight="1">
      <c r="A30" s="54">
        <f t="shared" si="14"/>
        <v>1</v>
      </c>
      <c r="B30" s="73">
        <f t="shared" si="6"/>
        <v>21</v>
      </c>
      <c r="C30" s="182">
        <v>321.10000000000002</v>
      </c>
      <c r="D30" s="192">
        <v>46254</v>
      </c>
      <c r="E30" s="187" t="s">
        <v>77</v>
      </c>
      <c r="G30" s="58" t="str">
        <f t="shared" si="13"/>
        <v/>
      </c>
      <c r="I30" s="153" t="s">
        <v>2</v>
      </c>
      <c r="J30" s="221">
        <f t="shared" si="12"/>
        <v>46575.1</v>
      </c>
      <c r="K30" s="212">
        <f t="shared" si="7"/>
        <v>46575.1</v>
      </c>
      <c r="L30" s="249" t="s">
        <v>29</v>
      </c>
      <c r="M30" s="254">
        <f>IF(L30=$Y$103,MAX($M$10:M29)+1,0)</f>
        <v>0</v>
      </c>
      <c r="N30" s="261">
        <f>IF(L30=$Y$119,MAX($N$10:N29)+1,0)</f>
        <v>0</v>
      </c>
      <c r="O30" s="224" t="s">
        <v>94</v>
      </c>
      <c r="P30" s="130" t="s">
        <v>99</v>
      </c>
      <c r="Q30" s="147" t="str">
        <f t="shared" si="8"/>
        <v>P</v>
      </c>
      <c r="R30" s="140"/>
      <c r="S30" s="134" t="str">
        <f t="shared" si="9"/>
        <v/>
      </c>
      <c r="T30" s="141"/>
      <c r="V30" s="58">
        <f t="shared" si="10"/>
        <v>321.10000000000002</v>
      </c>
      <c r="X30" s="30"/>
      <c r="Y30" s="92">
        <f>SUM(AC30:AH30)</f>
        <v>699.06</v>
      </c>
      <c r="Z30" s="88"/>
      <c r="AA30" s="93" t="s">
        <v>86</v>
      </c>
      <c r="AB30" s="88"/>
      <c r="AC30" s="158"/>
      <c r="AD30" s="276">
        <f>SUM(SUMIFS($G$10:$G$200,$L$10:$L$200,"Claro",$P$10:$P$200,"AV"),SUMIFS($V$10:$V$200,$L$10:$L$200,"Claro",$P$10:$P$200,"AV"))</f>
        <v>699.06</v>
      </c>
      <c r="AE30" s="276">
        <f>SUM(SUMIFS($G$10:$G$200,$L$10:$L$200,"Claro",$P$10:$P$200,"IT"),SUMIFS($V$10:$V$200,$L$10:$L$200,"Claro",$P$10:$P$200,"IT"))</f>
        <v>0</v>
      </c>
      <c r="AF30" s="276">
        <f>SUM(SUMIFS($G$10:$G$200,$L$10:$L$200,"Claro",$P$10:$P$200,"IT2"),SUMIFS($V$10:$V$200,$L$10:$L$200,"Claro",$P$10:$P$200,"IT2"))</f>
        <v>0</v>
      </c>
      <c r="AG30" s="276">
        <f>SUM(SUMIFS($G$10:$G$200,$L$10:$L$200,"Claro",$P$10:$P$200,"ITP"),SUMIFS($V$10:$V$200,$L$10:$L$200,"Claro",$P$10:$P$200,"ITP"))</f>
        <v>0</v>
      </c>
      <c r="AH30" s="276">
        <f>SUM(SUMIFS($G$10:$G$200,$L$10:$L$200,"Claro",$P$10:$P$200,"C6"),SUMIFS($V$10:$V$200,$L$10:$L$200,"Claro",$P$10:$P$200,"C6"))</f>
        <v>0</v>
      </c>
      <c r="AI30" s="108"/>
      <c r="AJ30" s="84"/>
      <c r="AK30" s="168"/>
      <c r="AL30" s="168"/>
      <c r="AM30" s="84"/>
      <c r="AN30" s="200">
        <f t="shared" si="0"/>
        <v>0</v>
      </c>
      <c r="AO30" s="196">
        <f t="shared" si="2"/>
        <v>0</v>
      </c>
      <c r="AP30" s="33" t="str">
        <f t="shared" si="3"/>
        <v/>
      </c>
      <c r="AQ30" s="99">
        <f t="shared" si="1"/>
        <v>0</v>
      </c>
      <c r="AR30" s="218"/>
      <c r="AS30" s="217"/>
      <c r="AT30" s="219"/>
      <c r="AU30" s="48"/>
      <c r="AV30" s="17"/>
      <c r="AW30" s="13"/>
    </row>
    <row r="31" spans="1:71" ht="15" customHeight="1">
      <c r="A31" s="54">
        <f t="shared" si="14"/>
        <v>1</v>
      </c>
      <c r="B31" s="73">
        <f t="shared" si="6"/>
        <v>22</v>
      </c>
      <c r="C31" s="182">
        <v>248.24</v>
      </c>
      <c r="D31" s="192">
        <v>46128</v>
      </c>
      <c r="E31" s="188" t="s">
        <v>57</v>
      </c>
      <c r="G31" s="58" t="str">
        <f t="shared" si="13"/>
        <v/>
      </c>
      <c r="I31" s="153" t="s">
        <v>2</v>
      </c>
      <c r="J31" s="221">
        <f t="shared" si="12"/>
        <v>46376.24</v>
      </c>
      <c r="K31" s="212">
        <f t="shared" si="7"/>
        <v>46376.24</v>
      </c>
      <c r="L31" s="249" t="s">
        <v>29</v>
      </c>
      <c r="M31" s="254">
        <f>IF(L31=$Y$103,MAX($M$10:M30)+1,0)</f>
        <v>0</v>
      </c>
      <c r="N31" s="261">
        <f>IF(L31=$Y$119,MAX($N$10:N30)+1,0)</f>
        <v>0</v>
      </c>
      <c r="O31" s="224" t="s">
        <v>94</v>
      </c>
      <c r="P31" s="130" t="s">
        <v>8</v>
      </c>
      <c r="Q31" s="147" t="str">
        <f t="shared" si="8"/>
        <v>P</v>
      </c>
      <c r="R31" s="140"/>
      <c r="S31" s="134" t="str">
        <f t="shared" si="9"/>
        <v/>
      </c>
      <c r="T31" s="141"/>
      <c r="V31" s="58">
        <f t="shared" si="10"/>
        <v>248.24</v>
      </c>
      <c r="X31" s="30"/>
      <c r="Y31" s="94">
        <f t="shared" ref="Y31:Y49" si="15">SUM(AC31:AH31)</f>
        <v>40.76</v>
      </c>
      <c r="Z31" s="88"/>
      <c r="AA31" s="95" t="s">
        <v>23</v>
      </c>
      <c r="AB31" s="88"/>
      <c r="AC31" s="159"/>
      <c r="AD31" s="49">
        <f>SUM(SUMIFS($G$10:$G$200,$L$10:$L$200,"Gás",$P$10:$P$200,"AV"),SUMIFS($V$10:$V$200,$L$10:$L$200,"Gás",$P$10:$P$200,"AV"))</f>
        <v>40.76</v>
      </c>
      <c r="AE31" s="49">
        <f>SUM(SUMIFS($G$10:$G$200,$L$10:$L$200,"Gás",$P$10:$P$200,"IT"),SUMIFS($V$10:$V$200,$L$10:$L$200,"Gás",$P$10:$P$200,"IT"))</f>
        <v>0</v>
      </c>
      <c r="AF31" s="49">
        <f>SUM(SUMIFS($G$10:$G$200,$L$10:$L$200,"Gás",$P$10:$P$200,"IT2"),SUMIFS($V$10:$V$200,$L$10:$L$200,"Gás",$P$10:$P$200,"IT2"))</f>
        <v>0</v>
      </c>
      <c r="AG31" s="49">
        <f>SUM(SUMIFS($G$10:$G$200,$L$10:$L$200,"Gás",$P$10:$P$200,"ITP"),SUMIFS($V$10:$V$200,$L$10:$L$200,"Gás",$P$10:$P$200,"ITP"))</f>
        <v>0</v>
      </c>
      <c r="AH31" s="49">
        <f>SUM(SUMIFS($G$10:$G$200,$L$10:$L$200,"Gás",$P$10:$P$200,"C6"),SUMIFS($V$10:$V$200,$L$10:$L$200,"Gás",$P$10:$P$200,"C6"))</f>
        <v>0</v>
      </c>
      <c r="AI31" s="110"/>
      <c r="AJ31" s="84"/>
      <c r="AK31" s="168"/>
      <c r="AL31" s="168"/>
      <c r="AM31" s="84"/>
      <c r="AN31" s="200">
        <f t="shared" si="0"/>
        <v>0</v>
      </c>
      <c r="AO31" s="196">
        <f t="shared" si="2"/>
        <v>0</v>
      </c>
      <c r="AP31" s="33" t="str">
        <f t="shared" si="3"/>
        <v/>
      </c>
      <c r="AQ31" s="99">
        <f t="shared" si="1"/>
        <v>0</v>
      </c>
      <c r="AR31" s="218"/>
      <c r="AS31" s="217"/>
      <c r="AT31" s="219"/>
      <c r="AU31" s="48"/>
      <c r="AV31" s="17"/>
      <c r="AW31" s="13"/>
      <c r="BD31" s="18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Q31" s="5"/>
      <c r="BR31" s="5"/>
    </row>
    <row r="32" spans="1:71" ht="15" customHeight="1">
      <c r="A32" s="54">
        <f t="shared" si="14"/>
        <v>1</v>
      </c>
      <c r="B32" s="75">
        <f t="shared" si="6"/>
        <v>23</v>
      </c>
      <c r="C32" s="183">
        <v>237.04</v>
      </c>
      <c r="D32" s="270">
        <v>46252</v>
      </c>
      <c r="E32" s="237" t="s">
        <v>58</v>
      </c>
      <c r="G32" s="58" t="str">
        <f t="shared" si="13"/>
        <v/>
      </c>
      <c r="I32" s="154" t="s">
        <v>2</v>
      </c>
      <c r="J32" s="222">
        <f t="shared" si="12"/>
        <v>46489.04</v>
      </c>
      <c r="K32" s="227">
        <f t="shared" si="7"/>
        <v>46489.04</v>
      </c>
      <c r="L32" s="250" t="s">
        <v>29</v>
      </c>
      <c r="M32" s="255">
        <f>IF(L32=$Y$103,MAX($M$10:M31)+1,0)</f>
        <v>0</v>
      </c>
      <c r="N32" s="262">
        <f>IF(L32=$Y$119,MAX($N$10:N31)+1,0)</f>
        <v>0</v>
      </c>
      <c r="O32" s="225" t="s">
        <v>94</v>
      </c>
      <c r="P32" s="148" t="s">
        <v>8</v>
      </c>
      <c r="Q32" s="149" t="str">
        <f t="shared" si="8"/>
        <v>P</v>
      </c>
      <c r="R32" s="142"/>
      <c r="S32" s="143" t="str">
        <f t="shared" si="9"/>
        <v/>
      </c>
      <c r="T32" s="144"/>
      <c r="V32" s="67">
        <f t="shared" si="10"/>
        <v>237.04</v>
      </c>
      <c r="X32" s="30"/>
      <c r="Y32" s="94">
        <f t="shared" si="15"/>
        <v>321.25</v>
      </c>
      <c r="Z32" s="88"/>
      <c r="AA32" s="95" t="s">
        <v>12</v>
      </c>
      <c r="AB32" s="88"/>
      <c r="AC32" s="159"/>
      <c r="AD32" s="49">
        <f>SUM(SUMIFS($G$10:$G$200,$L$10:$L$200,"Luz",$P$10:$P$200,"AV"),SUMIFS($V$10:$V$200,$L$10:$L$200,"Luz",$P$10:$P$200,"AV"))</f>
        <v>321.25</v>
      </c>
      <c r="AE32" s="49">
        <f>SUM(SUMIFS($G$10:$G$200,$L$10:$L$200,"Luz",$P$10:$P$200,"IT"),SUMIFS($V$10:$V$200,$L$10:$L$200,"Luz",$P$10:$P$200,"IT"))</f>
        <v>0</v>
      </c>
      <c r="AF32" s="49">
        <f>SUM(SUMIFS($G$10:$G$200,$L$10:$L$200,"Luz",$P$10:$P$200,"IT2"),SUMIFS($V$10:$V$200,$L$10:$L$200,"Luz",$P$10:$P$200,"IT2"))</f>
        <v>0</v>
      </c>
      <c r="AG32" s="49">
        <f>SUM(SUMIFS($G$10:$G$200,$L$10:$L$200,"Luz",$P$10:$P$200,"ITP"),SUMIFS($V$10:$V$200,$L$10:$L$200,"Luz",$P$10:$P$200,"ITP"))</f>
        <v>0</v>
      </c>
      <c r="AH32" s="49">
        <f>SUM(SUMIFS($G$10:$G$200,$L$10:$L$200,"Luz",$P$10:$P$200,"C6"),SUMIFS($V$10:$V$200,$L$10:$L$200,"Luz",$P$10:$P$200,"C6"))</f>
        <v>0</v>
      </c>
      <c r="AI32" s="110"/>
      <c r="AJ32" s="84"/>
      <c r="AK32" s="168"/>
      <c r="AL32" s="168"/>
      <c r="AM32" s="169"/>
      <c r="AN32" s="200">
        <f t="shared" si="0"/>
        <v>0</v>
      </c>
      <c r="AO32" s="196">
        <f t="shared" si="2"/>
        <v>0</v>
      </c>
      <c r="AP32" s="33" t="str">
        <f t="shared" si="3"/>
        <v/>
      </c>
      <c r="AQ32" s="99">
        <f t="shared" si="1"/>
        <v>0</v>
      </c>
      <c r="AR32" s="218"/>
      <c r="AS32" s="217"/>
      <c r="AT32" s="219"/>
      <c r="AU32" s="48"/>
      <c r="AV32" s="17"/>
      <c r="AW32" s="13"/>
      <c r="BB32" s="5">
        <f>BB30-BB31</f>
        <v>0</v>
      </c>
      <c r="BD32" s="18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Q32" s="5"/>
      <c r="BR32" s="5"/>
    </row>
    <row r="33" spans="1:70" ht="15" customHeight="1">
      <c r="A33" s="54">
        <f t="shared" si="14"/>
        <v>1</v>
      </c>
      <c r="B33" s="62">
        <f t="shared" si="6"/>
        <v>24</v>
      </c>
      <c r="C33" s="182">
        <v>136.66</v>
      </c>
      <c r="D33" s="192">
        <v>46185</v>
      </c>
      <c r="E33" s="185" t="s">
        <v>148</v>
      </c>
      <c r="G33" s="71" t="str">
        <f t="shared" si="13"/>
        <v/>
      </c>
      <c r="I33" s="153" t="s">
        <v>2</v>
      </c>
      <c r="J33" s="207">
        <f t="shared" si="12"/>
        <v>46321.66</v>
      </c>
      <c r="K33" s="207">
        <f t="shared" si="7"/>
        <v>46321.66</v>
      </c>
      <c r="L33" s="153" t="s">
        <v>10</v>
      </c>
      <c r="M33" s="254">
        <f>IF(L33=$Y$103,MAX($M$10:M32)+1,0)</f>
        <v>1</v>
      </c>
      <c r="N33" s="261">
        <f>IF(L33=$Y$119,MAX($N$10:N32)+1,0)</f>
        <v>0</v>
      </c>
      <c r="O33" s="224" t="s">
        <v>98</v>
      </c>
      <c r="P33" s="130" t="s">
        <v>90</v>
      </c>
      <c r="Q33" s="135" t="str">
        <f t="shared" si="8"/>
        <v>P</v>
      </c>
      <c r="R33" s="132">
        <v>3</v>
      </c>
      <c r="S33" s="134" t="str">
        <f t="shared" si="9"/>
        <v>de</v>
      </c>
      <c r="T33" s="133">
        <v>3</v>
      </c>
      <c r="V33" s="58">
        <f t="shared" si="10"/>
        <v>136.66</v>
      </c>
      <c r="X33" s="30"/>
      <c r="Y33" s="94">
        <f t="shared" si="15"/>
        <v>936.24</v>
      </c>
      <c r="Z33" s="88"/>
      <c r="AA33" s="95" t="s">
        <v>19</v>
      </c>
      <c r="AB33" s="88"/>
      <c r="AC33" s="159"/>
      <c r="AD33" s="49">
        <f>SUM(SUMIFS($G$10:$G$200,$L$10:$L$200,"Condomínio",$P$10:$P$200,"AV"),SUMIFS($V$10:$V$200,$L$10:$L$200,"Condomínio",$P$10:$P$200,"AV"))</f>
        <v>936.24</v>
      </c>
      <c r="AE33" s="49">
        <f>SUM(SUMIFS($G$10:$G$200,$L$10:$L$200,"Condomínio",$P$10:$P$200,"IT"),SUMIFS($V$10:$V$200,$L$10:$L$200,"Condomínio",$P$10:$P$200,"IT"))</f>
        <v>0</v>
      </c>
      <c r="AF33" s="49">
        <f>SUM(SUMIFS($G$10:$G$200,$L$10:$L$200,"Condomínio",$P$10:$P$200,"IT2"),SUMIFS($V$10:$V$200,$L$10:$L$200,"Condomínio",$P$10:$P$200,"IT2"))</f>
        <v>0</v>
      </c>
      <c r="AG33" s="49">
        <f>SUM(SUMIFS($G$10:$G$200,$L$10:$L$200,"Condomínio",$P$10:$P$200,"ITP"),SUMIFS($V$10:$V$200,$L$10:$L$200,"Condomínio",$P$10:$P$200,"ITP"))</f>
        <v>0</v>
      </c>
      <c r="AH33" s="49">
        <f>SUM(SUMIFS($G$10:$G$200,$L$10:$L$200,"Condomínio",$P$10:$P$200,"C6"),SUMIFS($V$10:$V$200,$L$10:$L$200,"Condomínio",$P$10:$P$200,"C6"))</f>
        <v>0</v>
      </c>
      <c r="AI33" s="108"/>
      <c r="AJ33" s="84"/>
      <c r="AK33" s="168"/>
      <c r="AL33" s="168"/>
      <c r="AM33" s="169"/>
      <c r="AN33" s="200">
        <f t="shared" si="0"/>
        <v>0</v>
      </c>
      <c r="AO33" s="196">
        <f t="shared" si="2"/>
        <v>0</v>
      </c>
      <c r="AP33" s="33" t="str">
        <f t="shared" si="3"/>
        <v/>
      </c>
      <c r="AQ33" s="99">
        <f t="shared" si="1"/>
        <v>0</v>
      </c>
      <c r="AR33" s="218"/>
      <c r="AS33" s="217"/>
      <c r="AT33" s="219"/>
      <c r="AU33" s="48"/>
      <c r="AV33" s="5"/>
      <c r="AW33" s="5"/>
      <c r="BQ33" s="5"/>
      <c r="BR33" s="5"/>
    </row>
    <row r="34" spans="1:70" ht="15" customHeight="1">
      <c r="A34" s="54">
        <f t="shared" si="14"/>
        <v>1</v>
      </c>
      <c r="B34" s="62">
        <f t="shared" si="6"/>
        <v>25</v>
      </c>
      <c r="C34" s="182">
        <v>107.49</v>
      </c>
      <c r="D34" s="192">
        <v>46034</v>
      </c>
      <c r="E34" s="184" t="s">
        <v>132</v>
      </c>
      <c r="G34" s="58" t="str">
        <f t="shared" ref="G34:G96" si="16">IF(OR(C34="",I34="Pago"),"",C34)</f>
        <v/>
      </c>
      <c r="I34" s="153" t="s">
        <v>2</v>
      </c>
      <c r="J34" s="207">
        <f t="shared" ref="J34:J97" si="17">C34+D34</f>
        <v>46141.49</v>
      </c>
      <c r="K34" s="207">
        <f t="shared" si="7"/>
        <v>46141.49</v>
      </c>
      <c r="L34" s="153" t="s">
        <v>7</v>
      </c>
      <c r="M34" s="254">
        <f>IF(L34=$Y$103,MAX($M$10:M33)+1,0)</f>
        <v>0</v>
      </c>
      <c r="N34" s="261">
        <f>IF(L34=$Y$119,MAX($N$10:N33)+1,0)</f>
        <v>0</v>
      </c>
      <c r="O34" s="224" t="s">
        <v>94</v>
      </c>
      <c r="P34" s="130" t="s">
        <v>90</v>
      </c>
      <c r="Q34" s="135" t="str">
        <f t="shared" ref="Q34:Q96" si="18">IF(P34="AV","8",IF(AND(J34=0,K34=0),"",IF(J34=K34,"P",IF(J34&lt;&gt;K34,"O"))))</f>
        <v>P</v>
      </c>
      <c r="R34" s="132">
        <v>4</v>
      </c>
      <c r="S34" s="134" t="str">
        <f>IF(R34="","","de")</f>
        <v>de</v>
      </c>
      <c r="T34" s="133">
        <v>4</v>
      </c>
      <c r="V34" s="58">
        <f t="shared" si="10"/>
        <v>107.49</v>
      </c>
      <c r="X34" s="30"/>
      <c r="Y34" s="94">
        <f t="shared" si="15"/>
        <v>1491.31</v>
      </c>
      <c r="Z34" s="88"/>
      <c r="AA34" s="97" t="s">
        <v>15</v>
      </c>
      <c r="AB34" s="88"/>
      <c r="AC34" s="160"/>
      <c r="AD34" s="49">
        <f>SUM(SUMIFS($G$10:$G$200,$L$10:$L$200,"Faculdade",$P$10:$P$200,"AV"),SUMIFS($V$10:$V$200,$L$10:$L$200,"Faculdade",$P$10:$P$200,"AV"))</f>
        <v>1491.31</v>
      </c>
      <c r="AE34" s="49">
        <f>SUM(SUMIFS($G$10:$G$200,$L$10:$L$200,"Faculdade",$P$10:$P$200,"IT"),SUMIFS($V$10:$V$200,$L$10:$L$200,"Faculdade",$P$10:$P$200,"IT"))</f>
        <v>0</v>
      </c>
      <c r="AF34" s="49">
        <f>SUM(SUMIFS($G$10:$G$200,$L$10:$L$200,"Faculdade",$P$10:$P$200,"IT2"),SUMIFS($V$10:$V$200,$L$10:$L$200,"Faculdade",$P$10:$P$200,"IT2"))</f>
        <v>0</v>
      </c>
      <c r="AG34" s="49">
        <f>SUM(SUMIFS($G$10:$G$200,$L$10:$L$200,"Faculdade",$P$10:$P$200,"ITP"),SUMIFS($V$10:$V$200,$L$10:$L$200,"Faculdade",$P$10:$P$200,"ITP"))</f>
        <v>0</v>
      </c>
      <c r="AH34" s="49">
        <f>SUM(SUMIFS($G$10:$G$200,$L$10:$L$200,"Faculdade",$P$10:$P$200,"C6"),SUMIFS($V$10:$V$200,$L$10:$L$200,"Faculdade",$P$10:$P$200,"C6"))</f>
        <v>0</v>
      </c>
      <c r="AI34" s="78"/>
      <c r="AJ34" s="84"/>
      <c r="AK34" s="168"/>
      <c r="AL34" s="168"/>
      <c r="AM34" s="169"/>
      <c r="AN34" s="200">
        <f t="shared" si="0"/>
        <v>0</v>
      </c>
      <c r="AO34" s="196">
        <f t="shared" si="2"/>
        <v>0</v>
      </c>
      <c r="AP34" s="33" t="str">
        <f t="shared" si="3"/>
        <v/>
      </c>
      <c r="AQ34" s="99">
        <f t="shared" si="1"/>
        <v>0</v>
      </c>
      <c r="AR34" s="218"/>
      <c r="AS34" s="217"/>
      <c r="AT34" s="219"/>
      <c r="AU34" s="48"/>
      <c r="AV34" s="5"/>
      <c r="AW34" s="5"/>
      <c r="BQ34" s="5"/>
      <c r="BR34" s="5"/>
    </row>
    <row r="35" spans="1:70" ht="15" customHeight="1">
      <c r="A35" s="54">
        <f t="shared" si="14"/>
        <v>1</v>
      </c>
      <c r="B35" s="62">
        <f t="shared" si="6"/>
        <v>26</v>
      </c>
      <c r="C35" s="182">
        <v>85.75</v>
      </c>
      <c r="D35" s="192">
        <v>46039</v>
      </c>
      <c r="E35" s="185" t="s">
        <v>82</v>
      </c>
      <c r="G35" s="58" t="str">
        <f t="shared" si="16"/>
        <v/>
      </c>
      <c r="I35" s="130" t="s">
        <v>2</v>
      </c>
      <c r="J35" s="207">
        <f t="shared" si="17"/>
        <v>46124.75</v>
      </c>
      <c r="K35" s="207">
        <f t="shared" si="7"/>
        <v>46124.75</v>
      </c>
      <c r="L35" s="153" t="s">
        <v>10</v>
      </c>
      <c r="M35" s="254">
        <f>IF(L35=$Y$103,MAX($M$10:M34)+1,0)</f>
        <v>2</v>
      </c>
      <c r="N35" s="261">
        <f>IF(L35=$Y$119,MAX($N$10:N34)+1,0)</f>
        <v>0</v>
      </c>
      <c r="O35" s="224" t="s">
        <v>98</v>
      </c>
      <c r="P35" s="130" t="s">
        <v>8</v>
      </c>
      <c r="Q35" s="135" t="str">
        <f t="shared" si="18"/>
        <v>P</v>
      </c>
      <c r="R35" s="132">
        <v>8</v>
      </c>
      <c r="S35" s="134" t="str">
        <f>IF(R35="","","de")</f>
        <v>de</v>
      </c>
      <c r="T35" s="133">
        <v>8</v>
      </c>
      <c r="V35" s="58">
        <f t="shared" si="10"/>
        <v>85.75</v>
      </c>
      <c r="X35" s="30"/>
      <c r="Y35" s="92">
        <f t="shared" si="15"/>
        <v>1800</v>
      </c>
      <c r="Z35" s="88"/>
      <c r="AA35" s="93" t="s">
        <v>106</v>
      </c>
      <c r="AB35" s="88"/>
      <c r="AC35" s="161"/>
      <c r="AD35" s="276">
        <f>SUM(SUMIFS($G$10:$G$200,$L$10:$L$200,"Depositar",$P$10:$P$200,"AV"),SUMIFS($V$10:$V$200,$L$10:$L$200,"Depositar",$P$10:$P$200,"AV"))</f>
        <v>1800</v>
      </c>
      <c r="AE35" s="276">
        <f>SUM(SUMIFS($G$10:$G$200,$L$10:$L$200,"Depositar",$P$10:$P$200,"IT"),SUMIFS($V$10:$V$200,$L$10:$L$200,"Depositar",$P$10:$P$200,"IT"))</f>
        <v>0</v>
      </c>
      <c r="AF35" s="276">
        <f>SUM(SUMIFS($G$10:$G$200,$L$10:$L$200,"Depositar",$P$10:$P$200,"IT2"),SUMIFS($V$10:$V$200,$L$10:$L$200,"Depositar",$P$10:$P$200,"IT2"))</f>
        <v>0</v>
      </c>
      <c r="AG35" s="276">
        <f>SUM(SUMIFS($G$10:$G$200,$L$10:$L$200,"Depositar",$P$10:$P$200,"ITP"),SUMIFS($V$10:$V$200,$L$10:$L$200,"Depositar",$P$10:$P$200,"ITP"))</f>
        <v>0</v>
      </c>
      <c r="AH35" s="276">
        <f>SUM(SUMIFS($G$10:$G$200,$L$10:$L$200,"Depositar",$P$10:$P$200,"C6"),SUMIFS($V$10:$V$200,$L$10:$L$200,"Depositar",$P$10:$P$200,"C6"))</f>
        <v>0</v>
      </c>
      <c r="AI35" s="78"/>
      <c r="AJ35" s="84"/>
      <c r="AK35" s="168"/>
      <c r="AL35" s="168"/>
      <c r="AM35" s="169"/>
      <c r="AN35" s="200">
        <f t="shared" si="0"/>
        <v>0</v>
      </c>
      <c r="AO35" s="196">
        <f t="shared" si="2"/>
        <v>0</v>
      </c>
      <c r="AP35" s="33" t="str">
        <f t="shared" si="3"/>
        <v/>
      </c>
      <c r="AQ35" s="99">
        <f t="shared" si="1"/>
        <v>0</v>
      </c>
      <c r="AR35" s="218"/>
      <c r="AS35" s="217"/>
      <c r="AT35" s="219"/>
      <c r="AU35" s="48"/>
      <c r="AV35" s="5"/>
      <c r="AW35" s="5"/>
      <c r="BQ35" s="5"/>
      <c r="BR35" s="5"/>
    </row>
    <row r="36" spans="1:70" ht="15" customHeight="1">
      <c r="A36" s="54">
        <f t="shared" si="14"/>
        <v>1</v>
      </c>
      <c r="B36" s="62">
        <f t="shared" si="6"/>
        <v>27</v>
      </c>
      <c r="C36" s="182">
        <v>89.9</v>
      </c>
      <c r="D36" s="192">
        <v>46273</v>
      </c>
      <c r="E36" s="189" t="s">
        <v>146</v>
      </c>
      <c r="G36" s="58" t="str">
        <f t="shared" si="16"/>
        <v/>
      </c>
      <c r="I36" s="130" t="s">
        <v>2</v>
      </c>
      <c r="J36" s="207">
        <f t="shared" si="17"/>
        <v>46362.9</v>
      </c>
      <c r="K36" s="207" t="str">
        <f t="shared" si="7"/>
        <v/>
      </c>
      <c r="L36" s="153" t="s">
        <v>7</v>
      </c>
      <c r="M36" s="254">
        <f>IF(L36=$Y$103,MAX($M$10:M35)+1,0)</f>
        <v>0</v>
      </c>
      <c r="N36" s="261">
        <f>IF(L36=$Y$119,MAX($N$10:N35)+1,0)</f>
        <v>0</v>
      </c>
      <c r="O36" s="224" t="s">
        <v>89</v>
      </c>
      <c r="P36" s="130" t="s">
        <v>118</v>
      </c>
      <c r="Q36" s="135" t="str">
        <f t="shared" si="18"/>
        <v>8</v>
      </c>
      <c r="R36" s="132">
        <v>9</v>
      </c>
      <c r="S36" s="134" t="str">
        <f>IF(R36="","","de")</f>
        <v>de</v>
      </c>
      <c r="T36" s="133">
        <v>11</v>
      </c>
      <c r="V36" s="58">
        <f t="shared" si="10"/>
        <v>89.9</v>
      </c>
      <c r="X36" s="30"/>
      <c r="Y36" s="98">
        <f t="shared" si="15"/>
        <v>1322.0700000000002</v>
      </c>
      <c r="Z36" s="88"/>
      <c r="AA36" s="97" t="s">
        <v>29</v>
      </c>
      <c r="AB36" s="88"/>
      <c r="AC36" s="157"/>
      <c r="AD36" s="34">
        <f>SUM(SUMIFS($G$10:$G$200,$L$10:$L$200,"Prudential",$P$10:$P$200,"AV"),SUMIFS($V$10:$V$200,$L$10:$L$200,"Prudential",$P$10:$P$200,"AV"))</f>
        <v>0</v>
      </c>
      <c r="AE36" s="34">
        <f>SUM(SUMIFS($G$10:$G$200,$L$10:$L$200,"Prudential",$P$10:$P$200,"IT"),SUMIFS($V$10:$V$200,$L$10:$L$200,"Prudential",$P$10:$P$200,"IT"))</f>
        <v>0</v>
      </c>
      <c r="AF36" s="34">
        <f>SUM(SUMIFS($G$10:$G$200,$L$10:$L$200,"Prudential",$P$10:$P$200,"IT2"),SUMIFS($V$10:$V$200,$L$10:$L$200,"Prudential",$P$10:$P$200,"IT2"))</f>
        <v>0</v>
      </c>
      <c r="AG36" s="34">
        <f>SUM(SUMIFS($G$10:$G$200,$L$10:$L$200,"Prudential",$P$10:$P$200,"ITP"),SUMIFS($V$10:$V$200,$L$10:$L$200,"Prudential",$P$10:$P$200,"ITP"))</f>
        <v>582.16000000000008</v>
      </c>
      <c r="AH36" s="34">
        <f>SUM(SUMIFS($G$10:$G$200,$L$10:$L$200,"Prudential",$P$10:$P$200,"C6"),SUMIFS($V$10:$V$200,$L$10:$L$200,"Prudential",$P$10:$P$200,"C6"))</f>
        <v>739.91</v>
      </c>
      <c r="AI36" s="78"/>
      <c r="AJ36" s="84"/>
      <c r="AK36" s="168"/>
      <c r="AL36" s="168"/>
      <c r="AM36" s="169"/>
      <c r="AN36" s="200">
        <f t="shared" si="0"/>
        <v>0</v>
      </c>
      <c r="AO36" s="196">
        <f t="shared" si="2"/>
        <v>0</v>
      </c>
      <c r="AP36" s="33" t="str">
        <f t="shared" si="3"/>
        <v/>
      </c>
      <c r="AQ36" s="99">
        <f t="shared" si="1"/>
        <v>0</v>
      </c>
      <c r="AR36" s="218"/>
      <c r="AS36" s="217"/>
      <c r="AT36" s="219"/>
      <c r="AU36" s="48"/>
      <c r="AV36" s="5"/>
      <c r="AW36" s="5"/>
      <c r="BQ36" s="5"/>
      <c r="BR36" s="5"/>
    </row>
    <row r="37" spans="1:70" ht="15" customHeight="1">
      <c r="A37" s="54">
        <f t="shared" si="14"/>
        <v>1</v>
      </c>
      <c r="B37" s="62">
        <f t="shared" si="6"/>
        <v>28</v>
      </c>
      <c r="C37" s="182">
        <v>352</v>
      </c>
      <c r="D37" s="192">
        <v>46118</v>
      </c>
      <c r="E37" s="185" t="s">
        <v>113</v>
      </c>
      <c r="G37" s="58" t="str">
        <f t="shared" si="16"/>
        <v/>
      </c>
      <c r="I37" s="153" t="s">
        <v>2</v>
      </c>
      <c r="J37" s="207">
        <f t="shared" si="17"/>
        <v>46470</v>
      </c>
      <c r="K37" s="207">
        <f t="shared" si="7"/>
        <v>46470</v>
      </c>
      <c r="L37" s="153" t="s">
        <v>7</v>
      </c>
      <c r="M37" s="254">
        <f>IF(L37=$Y$103,MAX($M$10:M36)+1,0)</f>
        <v>0</v>
      </c>
      <c r="N37" s="261">
        <f>IF(L37=$Y$119,MAX($N$10:N36)+1,0)</f>
        <v>0</v>
      </c>
      <c r="O37" s="224" t="s">
        <v>94</v>
      </c>
      <c r="P37" s="130" t="s">
        <v>95</v>
      </c>
      <c r="Q37" s="135" t="str">
        <f t="shared" si="18"/>
        <v>P</v>
      </c>
      <c r="R37" s="132">
        <v>6</v>
      </c>
      <c r="S37" s="134" t="str">
        <f>IF(R37="","","de")</f>
        <v>de</v>
      </c>
      <c r="T37" s="133">
        <v>10</v>
      </c>
      <c r="V37" s="58">
        <f t="shared" si="10"/>
        <v>352</v>
      </c>
      <c r="X37" s="30"/>
      <c r="Y37" s="94">
        <f t="shared" si="15"/>
        <v>219.82999999999998</v>
      </c>
      <c r="Z37" s="88"/>
      <c r="AA37" s="95" t="s">
        <v>16</v>
      </c>
      <c r="AB37" s="88"/>
      <c r="AC37" s="162"/>
      <c r="AD37" s="49">
        <f>SUM(SUMIFS($G$10:$G$200,$L$10:$L$200,"TV",$P$10:$P$200,"AV"),SUMIFS($V$10:$V$200,$L$10:$L$200,"TV",$P$10:$P$200,"AV"))</f>
        <v>76.699999999999989</v>
      </c>
      <c r="AE37" s="49">
        <f>SUM(SUMIFS($G$10:$G$200,$L$10:$L$200,"TV",$P$10:$P$200,"IT"),SUMIFS($V$10:$V$200,$L$10:$L$200,"TV",$P$10:$P$200,"IT"))</f>
        <v>83.22999999999999</v>
      </c>
      <c r="AF37" s="49">
        <f>SUM(SUMIFS($G$10:$G$200,$L$10:$L$200,"TV",$P$10:$P$200,"IT2"),SUMIFS($V$10:$V$200,$L$10:$L$200,"TV",$P$10:$P$200,"IT2"))</f>
        <v>59.9</v>
      </c>
      <c r="AG37" s="49">
        <f>SUM(SUMIFS($G$10:$G$200,$L$10:$L$200,"TV",$P$10:$P$200,"ITP"),SUMIFS($V$10:$V$200,$L$10:$L$200,"TV",$P$10:$P$200,"ITP"))</f>
        <v>0</v>
      </c>
      <c r="AH37" s="49">
        <f>SUM(SUMIFS($G$10:$G$200,$L$10:$L$200,"TV",$P$10:$P$200,"C6"),SUMIFS($V$10:$V$200,$L$10:$L$200,"TV",$P$10:$P$200,"C6"))</f>
        <v>0</v>
      </c>
      <c r="AI37" s="78"/>
      <c r="AJ37" s="84"/>
      <c r="AK37" s="168"/>
      <c r="AL37" s="168"/>
      <c r="AM37" s="169"/>
      <c r="AN37" s="200">
        <f t="shared" si="0"/>
        <v>0</v>
      </c>
      <c r="AO37" s="196">
        <f t="shared" si="2"/>
        <v>0</v>
      </c>
      <c r="AP37" s="33" t="str">
        <f t="shared" si="3"/>
        <v/>
      </c>
      <c r="AQ37" s="99">
        <f t="shared" si="1"/>
        <v>0</v>
      </c>
      <c r="AR37" s="218"/>
      <c r="AS37" s="217"/>
      <c r="AT37" s="219"/>
      <c r="AU37" s="48"/>
      <c r="AV37" s="5"/>
      <c r="AW37" s="5"/>
      <c r="BQ37" s="5"/>
      <c r="BR37" s="5"/>
    </row>
    <row r="38" spans="1:70" ht="15" customHeight="1">
      <c r="A38" s="54">
        <f t="shared" si="14"/>
        <v>1</v>
      </c>
      <c r="B38" s="62">
        <f t="shared" si="6"/>
        <v>29</v>
      </c>
      <c r="C38" s="182">
        <v>146.65</v>
      </c>
      <c r="D38" s="192">
        <v>46275</v>
      </c>
      <c r="E38" s="190" t="s">
        <v>131</v>
      </c>
      <c r="G38" s="58" t="str">
        <f t="shared" si="16"/>
        <v/>
      </c>
      <c r="I38" s="130" t="s">
        <v>2</v>
      </c>
      <c r="J38" s="207">
        <f t="shared" si="17"/>
        <v>46421.65</v>
      </c>
      <c r="K38" s="207" t="str">
        <f t="shared" si="7"/>
        <v/>
      </c>
      <c r="L38" s="153" t="s">
        <v>7</v>
      </c>
      <c r="M38" s="254">
        <f>IF(L38=$Y$103,MAX($M$10:M37)+1,0)</f>
        <v>0</v>
      </c>
      <c r="N38" s="261">
        <f>IF(L38=$Y$119,MAX($N$10:N37)+1,0)</f>
        <v>0</v>
      </c>
      <c r="O38" s="224" t="s">
        <v>94</v>
      </c>
      <c r="P38" s="130" t="s">
        <v>118</v>
      </c>
      <c r="Q38" s="135" t="str">
        <f t="shared" si="18"/>
        <v>8</v>
      </c>
      <c r="R38" s="132">
        <v>5</v>
      </c>
      <c r="S38" s="134" t="s">
        <v>22</v>
      </c>
      <c r="T38" s="133">
        <v>6</v>
      </c>
      <c r="V38" s="58">
        <f t="shared" si="10"/>
        <v>146.65</v>
      </c>
      <c r="X38" s="30"/>
      <c r="Y38" s="94">
        <f t="shared" si="15"/>
        <v>1000</v>
      </c>
      <c r="Z38" s="88"/>
      <c r="AA38" s="95" t="s">
        <v>27</v>
      </c>
      <c r="AB38" s="88"/>
      <c r="AC38" s="162">
        <f>IF(1000-AD38-AE38-AF38-AG38-AH38&lt;0,"R$ 0,00",1000-AD38-AE38-AF38-AG38-AH38)</f>
        <v>271.12999999999988</v>
      </c>
      <c r="AD38" s="49">
        <f>SUM(SUMIFS($G$10:$G$200,$L$10:$L$200,"Supermercado",$P$10:$P$200,"AV"),SUMIFS($V$10:$V$200,$L$10:$L$200,"Supermercado",$P$10:$P$200,"AV"))</f>
        <v>85.19</v>
      </c>
      <c r="AE38" s="49">
        <f>SUM(SUMIFS($G$10:$G$200,$L$10:$L$200,"Supermercado",$P$10:$P$200,"IT"),SUMIFS($V$10:$V$200,$L$10:$L$200,"Supermercado",$P$10:$P$200,"IT"))</f>
        <v>0</v>
      </c>
      <c r="AF38" s="49">
        <f>SUM(SUMIFS($G$10:$G$200,$L$10:$L$200,"Supermercado",$P$10:$P$200,"IT2"),SUMIFS($V$10:$V$200,$L$10:$L$200,"Supermercado",$P$10:$P$200,"IT2"))</f>
        <v>0</v>
      </c>
      <c r="AG38" s="49">
        <f>SUM(SUMIFS($G$10:$G$200,$L$10:$L$200,"Supermercado",$P$10:$P$200,"ITP"),SUMIFS($V$10:$V$200,$L$10:$L$200,"Supermercado",$P$10:$P$200,"ITP"))</f>
        <v>0</v>
      </c>
      <c r="AH38" s="49">
        <f>SUM(SUMIFS($G$10:$G$200,$L$10:$L$200,"Supermercado",$P$10:$P$200,"C6"),SUMIFS($V$10:$V$200,$L$10:$L$200,"Supermercado",$P$10:$P$200,"C6"))</f>
        <v>643.68000000000006</v>
      </c>
      <c r="AI38" s="78"/>
      <c r="AJ38" s="84"/>
      <c r="AK38" s="168"/>
      <c r="AL38" s="168"/>
      <c r="AM38" s="169"/>
      <c r="AN38" s="200">
        <f t="shared" si="0"/>
        <v>0</v>
      </c>
      <c r="AO38" s="196">
        <f t="shared" si="2"/>
        <v>0</v>
      </c>
      <c r="AP38" s="33" t="str">
        <f t="shared" si="3"/>
        <v/>
      </c>
      <c r="AQ38" s="99">
        <f t="shared" si="1"/>
        <v>0</v>
      </c>
      <c r="AR38" s="218"/>
      <c r="AS38" s="217"/>
      <c r="AT38" s="219"/>
      <c r="AU38" s="48"/>
      <c r="AV38" s="5"/>
      <c r="AW38" s="5"/>
      <c r="BQ38" s="5"/>
      <c r="BR38" s="5"/>
    </row>
    <row r="39" spans="1:70" ht="15" customHeight="1">
      <c r="A39" s="54">
        <f t="shared" si="14"/>
        <v>1</v>
      </c>
      <c r="B39" s="62">
        <f t="shared" si="6"/>
        <v>30</v>
      </c>
      <c r="C39" s="182">
        <v>47.13</v>
      </c>
      <c r="D39" s="192">
        <v>46275</v>
      </c>
      <c r="E39" s="190" t="s">
        <v>130</v>
      </c>
      <c r="G39" s="58" t="str">
        <f t="shared" si="16"/>
        <v/>
      </c>
      <c r="I39" s="130" t="s">
        <v>2</v>
      </c>
      <c r="J39" s="207">
        <f t="shared" si="17"/>
        <v>46322.13</v>
      </c>
      <c r="K39" s="207" t="str">
        <f t="shared" si="7"/>
        <v/>
      </c>
      <c r="L39" s="153" t="s">
        <v>7</v>
      </c>
      <c r="M39" s="254">
        <f>IF(L39=$Y$103,MAX($M$10:M38)+1,0)</f>
        <v>0</v>
      </c>
      <c r="N39" s="261">
        <f>IF(L39=$Y$119,MAX($N$10:N38)+1,0)</f>
        <v>0</v>
      </c>
      <c r="O39" s="224" t="s">
        <v>94</v>
      </c>
      <c r="P39" s="130" t="s">
        <v>118</v>
      </c>
      <c r="Q39" s="135" t="str">
        <f t="shared" si="18"/>
        <v>8</v>
      </c>
      <c r="R39" s="132">
        <v>5</v>
      </c>
      <c r="S39" s="134" t="str">
        <f t="shared" ref="S39:S47" si="19">IF(R39="","","de")</f>
        <v>de</v>
      </c>
      <c r="T39" s="133">
        <v>6</v>
      </c>
      <c r="V39" s="58">
        <f t="shared" si="10"/>
        <v>47.13</v>
      </c>
      <c r="X39" s="30"/>
      <c r="Y39" s="94">
        <f t="shared" si="15"/>
        <v>200</v>
      </c>
      <c r="Z39" s="88"/>
      <c r="AA39" s="95" t="s">
        <v>44</v>
      </c>
      <c r="AB39" s="88"/>
      <c r="AC39" s="162">
        <f>IF(200-AD39-AE39-AF39-AG39-AH39&lt;0,"R$ 0,00",200-AD39-AE39-AF39-AG39-AH39)</f>
        <v>80</v>
      </c>
      <c r="AD39" s="49">
        <f>SUM(SUMIFS($G$10:$G$200,$L$10:$L$200,"Metrô",$P$10:$P$200,"AV"),SUMIFS($V$10:$V$200,$L$10:$L$200,"Metrô",$P$10:$P$200,"AV"))</f>
        <v>120</v>
      </c>
      <c r="AE39" s="49">
        <f>SUM(SUMIFS($G$10:$G$200,$L$10:$L$200,"Metrô",$P$10:$P$200,"IT"),SUMIFS($V$10:$V$200,$L$10:$L$200,"Metrô",$P$10:$P$200,"IT"))</f>
        <v>0</v>
      </c>
      <c r="AF39" s="49">
        <f>SUM(SUMIFS($G$10:$G$200,$L$10:$L$200,"Metrô",$P$10:$P$200,"IT2"),SUMIFS($V$10:$V$200,$L$10:$L$200,"Metrô",$P$10:$P$200,"IT2"))</f>
        <v>0</v>
      </c>
      <c r="AG39" s="49">
        <f>SUM(SUMIFS($G$10:$G$200,$L$10:$L$200,"Metrô",$P$10:$P$200,"ITP"),SUMIFS($V$10:$V$200,$L$10:$L$200,"Metrô",$P$10:$P$200,"ITP"))</f>
        <v>0</v>
      </c>
      <c r="AH39" s="49">
        <f>SUM(SUMIFS($G$10:$G$200,$L$10:$L$200,"Metrô",$P$10:$P$200,"C6"),SUMIFS($V$10:$V$200,$L$10:$L$200,"Metrô",$P$10:$P$200,"C6"))</f>
        <v>0</v>
      </c>
      <c r="AI39" s="78"/>
      <c r="AJ39" s="84"/>
      <c r="AK39" s="168"/>
      <c r="AL39" s="168"/>
      <c r="AM39" s="169"/>
      <c r="AN39" s="200">
        <f t="shared" si="0"/>
        <v>0</v>
      </c>
      <c r="AO39" s="196">
        <f t="shared" si="2"/>
        <v>0</v>
      </c>
      <c r="AP39" s="33" t="str">
        <f t="shared" si="3"/>
        <v/>
      </c>
      <c r="AQ39" s="99">
        <f t="shared" si="1"/>
        <v>0</v>
      </c>
      <c r="AR39" s="218"/>
      <c r="AS39" s="217"/>
      <c r="AT39" s="219"/>
      <c r="AU39" s="48"/>
      <c r="AV39" s="5"/>
      <c r="AW39" s="5"/>
      <c r="BQ39" s="5"/>
      <c r="BR39" s="5"/>
    </row>
    <row r="40" spans="1:70" ht="15" customHeight="1">
      <c r="A40" s="54">
        <f t="shared" si="14"/>
        <v>1</v>
      </c>
      <c r="B40" s="62">
        <f t="shared" si="6"/>
        <v>31</v>
      </c>
      <c r="C40" s="182">
        <v>21.96</v>
      </c>
      <c r="D40" s="192">
        <v>46172</v>
      </c>
      <c r="E40" s="185" t="s">
        <v>147</v>
      </c>
      <c r="F40" s="18"/>
      <c r="G40" s="58" t="str">
        <f t="shared" si="16"/>
        <v/>
      </c>
      <c r="I40" s="153" t="s">
        <v>2</v>
      </c>
      <c r="J40" s="207">
        <f t="shared" si="17"/>
        <v>46193.96</v>
      </c>
      <c r="K40" s="207" t="str">
        <f t="shared" si="7"/>
        <v/>
      </c>
      <c r="L40" s="153" t="s">
        <v>13</v>
      </c>
      <c r="M40" s="254">
        <f>IF(L40=$Y$103,MAX($M$10:M39)+1,0)</f>
        <v>0</v>
      </c>
      <c r="N40" s="261">
        <f>IF(L40=$Y$119,MAX($N$10:N39)+1,0)</f>
        <v>0</v>
      </c>
      <c r="O40" s="224" t="s">
        <v>94</v>
      </c>
      <c r="P40" s="130" t="s">
        <v>90</v>
      </c>
      <c r="Q40" s="135" t="str">
        <f t="shared" si="18"/>
        <v>O</v>
      </c>
      <c r="R40" s="132">
        <v>3</v>
      </c>
      <c r="S40" s="134" t="str">
        <f t="shared" si="19"/>
        <v>de</v>
      </c>
      <c r="T40" s="133">
        <v>3</v>
      </c>
      <c r="V40" s="58">
        <f t="shared" si="10"/>
        <v>21.96</v>
      </c>
      <c r="X40" s="30"/>
      <c r="Y40" s="94">
        <f t="shared" si="15"/>
        <v>500</v>
      </c>
      <c r="Z40" s="88"/>
      <c r="AA40" s="102" t="s">
        <v>9</v>
      </c>
      <c r="AB40" s="88"/>
      <c r="AC40" s="162">
        <f>IF(500-AD40-AE40-AF40-AG40-AH40&lt;0,"R$ 0,00",500-AD40-AE40-AF40-AG40-AH40)</f>
        <v>232.5</v>
      </c>
      <c r="AD40" s="49">
        <f>SUM(SUMIFS($G$10:$G$200,$L$10:$L$200,"Feira",$P$10:$P$200,"AV"),SUMIFS($V$10:$V$200,$L$10:$L$200,"Feira",$P$10:$P$200,"AV"))</f>
        <v>126</v>
      </c>
      <c r="AE40" s="49">
        <f>SUM(SUMIFS($G$10:$G$200,$L$10:$L$200,"Feira",$P$10:$P$200,"IT"),SUMIFS($V$10:$V$200,$L$10:$L$200,"Feira",$P$10:$P$200,"IT"))</f>
        <v>0</v>
      </c>
      <c r="AF40" s="49">
        <f>SUM(SUMIFS($G$10:$G$200,$L$10:$L$200,"Feira",$P$10:$P$200,"IT2"),SUMIFS($V$10:$V$200,$L$10:$L$200,"Feira",$P$10:$P$200,"IT2"))</f>
        <v>0</v>
      </c>
      <c r="AG40" s="49">
        <f>SUM(SUMIFS($G$10:$G$200,$L$10:$L$200,"Feira",$P$10:$P$200,"ITP"),SUMIFS($V$10:$V$200,$L$10:$L$200,"Feira",$P$10:$P$200,"ITP"))</f>
        <v>0</v>
      </c>
      <c r="AH40" s="49">
        <f>SUM(SUMIFS($G$10:$G$200,$L$10:$L$200,"Feira",$P$10:$P$200,"C6"),SUMIFS($V$10:$V$200,$L$10:$L$200,"Feira",$P$10:$P$200,"C6"))</f>
        <v>141.5</v>
      </c>
      <c r="AI40" s="78"/>
      <c r="AJ40" s="84"/>
      <c r="AK40" s="168"/>
      <c r="AL40" s="168"/>
      <c r="AM40" s="169"/>
      <c r="AN40" s="200">
        <f t="shared" si="0"/>
        <v>0</v>
      </c>
      <c r="AO40" s="196">
        <f t="shared" si="2"/>
        <v>0</v>
      </c>
      <c r="AP40" s="33" t="str">
        <f t="shared" si="3"/>
        <v/>
      </c>
      <c r="AQ40" s="99">
        <f t="shared" si="1"/>
        <v>0</v>
      </c>
      <c r="AR40" s="218"/>
      <c r="AS40" s="217"/>
      <c r="AT40" s="219"/>
      <c r="AU40" s="48"/>
      <c r="AV40" s="5"/>
      <c r="AW40" s="5"/>
      <c r="BQ40" s="5"/>
      <c r="BR40" s="5"/>
    </row>
    <row r="41" spans="1:70" ht="15" customHeight="1">
      <c r="A41" s="54">
        <f t="shared" si="14"/>
        <v>1</v>
      </c>
      <c r="B41" s="62">
        <f t="shared" si="6"/>
        <v>32</v>
      </c>
      <c r="C41" s="182">
        <v>84.39</v>
      </c>
      <c r="D41" s="192">
        <v>46185</v>
      </c>
      <c r="E41" s="185" t="s">
        <v>149</v>
      </c>
      <c r="G41" s="58" t="str">
        <f t="shared" si="16"/>
        <v/>
      </c>
      <c r="I41" s="153" t="s">
        <v>2</v>
      </c>
      <c r="J41" s="207">
        <f t="shared" si="17"/>
        <v>46269.39</v>
      </c>
      <c r="K41" s="207">
        <f t="shared" si="7"/>
        <v>46269.39</v>
      </c>
      <c r="L41" s="153" t="s">
        <v>7</v>
      </c>
      <c r="M41" s="254">
        <f>IF(L41=$Y$103,MAX($M$10:M40)+1,0)</f>
        <v>0</v>
      </c>
      <c r="N41" s="261">
        <f>IF(L41=$Y$119,MAX($N$10:N40)+1,0)</f>
        <v>0</v>
      </c>
      <c r="O41" s="224" t="s">
        <v>94</v>
      </c>
      <c r="P41" s="130" t="s">
        <v>90</v>
      </c>
      <c r="Q41" s="135" t="str">
        <f t="shared" si="18"/>
        <v>P</v>
      </c>
      <c r="R41" s="132">
        <v>3</v>
      </c>
      <c r="S41" s="134" t="str">
        <f t="shared" si="19"/>
        <v>de</v>
      </c>
      <c r="T41" s="133">
        <v>3</v>
      </c>
      <c r="V41" s="58">
        <f t="shared" si="10"/>
        <v>84.39</v>
      </c>
      <c r="X41" s="30"/>
      <c r="Y41" s="94">
        <f t="shared" si="15"/>
        <v>1094.18</v>
      </c>
      <c r="Z41" s="88"/>
      <c r="AA41" s="95" t="s">
        <v>108</v>
      </c>
      <c r="AB41" s="88"/>
      <c r="AC41" s="162"/>
      <c r="AD41" s="49">
        <f>SUM(SUMIFS($G$10:$G$200,$L$10:$L$200,"Ref/Lanche",$P$10:$P$200,"AV"),SUMIFS($V$10:$V$200,$L$10:$L$200,"Ref/Lanche",$P$10:$P$200,"AV"))</f>
        <v>146.48999999999998</v>
      </c>
      <c r="AE41" s="49">
        <f>SUM(SUMIFS($G$10:$G$200,$L$10:$L$200,"Ref/Lanche",$P$10:$P$200,"IT"),SUMIFS($V$10:$V$200,$L$10:$L$200,"Ref/Lanche",$P$10:$P$200,"IT"))</f>
        <v>758.33</v>
      </c>
      <c r="AF41" s="49">
        <f>SUM(SUMIFS($G$10:$G$200,$L$10:$L$200,"Ref/Lanche",$P$10:$P$200,"IT2"),SUMIFS($V$10:$V$200,$L$10:$L$200,"Ref/Lanche",$P$10:$P$200,"IT2"))</f>
        <v>0</v>
      </c>
      <c r="AG41" s="49">
        <f>SUM(SUMIFS($G$10:$G$200,$L$10:$L$200,"Ref/Lanche",$P$10:$P$200,"ITP"),SUMIFS($V$10:$V$200,$L$10:$L$200,"Ref/Lanche",$P$10:$P$200,"ITP"))</f>
        <v>0</v>
      </c>
      <c r="AH41" s="49">
        <f>SUM(SUMIFS($G$10:$G$200,$L$10:$L$200,"Ref/Lanche",$P$10:$P$200,"C6"),SUMIFS($V$10:$V$200,$L$10:$L$200,"Ref/Lanche",$P$10:$P$200,"C6"))</f>
        <v>189.36</v>
      </c>
      <c r="AI41" s="78"/>
      <c r="AJ41" s="84"/>
      <c r="AK41" s="168"/>
      <c r="AL41" s="168"/>
      <c r="AM41" s="169"/>
      <c r="AN41" s="200">
        <f t="shared" si="0"/>
        <v>0</v>
      </c>
      <c r="AO41" s="196">
        <f t="shared" si="2"/>
        <v>0</v>
      </c>
      <c r="AP41" s="33" t="str">
        <f t="shared" si="3"/>
        <v/>
      </c>
      <c r="AQ41" s="99">
        <f t="shared" si="1"/>
        <v>0</v>
      </c>
      <c r="AR41" s="218"/>
      <c r="AS41" s="217"/>
      <c r="AT41" s="219"/>
      <c r="AU41" s="48"/>
      <c r="AV41" s="5"/>
      <c r="AW41" s="5"/>
      <c r="BQ41" s="5"/>
      <c r="BR41" s="5"/>
    </row>
    <row r="42" spans="1:70" ht="15" customHeight="1">
      <c r="A42" s="54">
        <f t="shared" si="14"/>
        <v>1</v>
      </c>
      <c r="B42" s="62">
        <f t="shared" si="6"/>
        <v>33</v>
      </c>
      <c r="C42" s="182">
        <v>190</v>
      </c>
      <c r="D42" s="192">
        <v>46190</v>
      </c>
      <c r="E42" s="190" t="s">
        <v>150</v>
      </c>
      <c r="G42" s="58" t="str">
        <f t="shared" si="16"/>
        <v/>
      </c>
      <c r="I42" s="153" t="s">
        <v>2</v>
      </c>
      <c r="J42" s="207">
        <f t="shared" si="17"/>
        <v>46380</v>
      </c>
      <c r="K42" s="207">
        <f t="shared" ref="K42:K73" si="20">IFERROR(VLOOKUP(J42,$AO$5:$AO$173,1,0),"")</f>
        <v>46380</v>
      </c>
      <c r="L42" s="153" t="s">
        <v>7</v>
      </c>
      <c r="M42" s="254">
        <f>IF(L42=$Y$103,MAX($M$10:M41)+1,0)</f>
        <v>0</v>
      </c>
      <c r="N42" s="261">
        <f>IF(L42=$Y$119,MAX($N$10:N41)+1,0)</f>
        <v>0</v>
      </c>
      <c r="O42" s="224" t="s">
        <v>94</v>
      </c>
      <c r="P42" s="130" t="s">
        <v>90</v>
      </c>
      <c r="Q42" s="135" t="str">
        <f t="shared" si="18"/>
        <v>P</v>
      </c>
      <c r="R42" s="132">
        <v>3</v>
      </c>
      <c r="S42" s="134" t="str">
        <f t="shared" si="19"/>
        <v>de</v>
      </c>
      <c r="T42" s="133">
        <v>5</v>
      </c>
      <c r="V42" s="58">
        <f t="shared" si="10"/>
        <v>190</v>
      </c>
      <c r="X42" s="30"/>
      <c r="Y42" s="94">
        <f t="shared" si="15"/>
        <v>206.59</v>
      </c>
      <c r="Z42" s="88"/>
      <c r="AA42" s="95" t="s">
        <v>28</v>
      </c>
      <c r="AB42" s="88"/>
      <c r="AC42" s="162"/>
      <c r="AD42" s="49">
        <f>SUM(SUMIFS($G$10:$G$200,$L$10:$L$200,"Farmácia",$P$10:$P$200,"AV"),SUMIFS($V$10:$V$200,$L$10:$L$200,"Farmácia",$P$10:$P$200,"AV"))</f>
        <v>0</v>
      </c>
      <c r="AE42" s="49">
        <f>SUM(SUMIFS($G$10:$G$200,$L$10:$L$200,"Farmácia",$P$10:$P$200,"IT"),SUMIFS($V$10:$V$200,$L$10:$L$200,"Farmácia",$P$10:$P$200,"IT"))</f>
        <v>206.59</v>
      </c>
      <c r="AF42" s="49">
        <f>SUM(SUMIFS($G$10:$G$200,$L$10:$L$200,"Farmácia",$P$10:$P$200,"IT2"),SUMIFS($V$10:$V$200,$L$10:$L$200,"Farmácia",$P$10:$P$200,"IT2"))</f>
        <v>0</v>
      </c>
      <c r="AG42" s="49">
        <f>SUM(SUMIFS($G$10:$G$200,$L$10:$L$200,"Farmácia",$P$10:$P$200,"ITP"),SUMIFS($V$10:$V$200,$L$10:$L$200,"Farmácia",$P$10:$P$200,"ITP"))</f>
        <v>0</v>
      </c>
      <c r="AH42" s="49">
        <f>SUM(SUMIFS($G$10:$G$200,$L$10:$L$200,"Farmácia",$P$10:$P$200,"C6"),SUMIFS($V$10:$V$200,$L$10:$L$200,"Farmácia",$P$10:$P$200,"C6"))</f>
        <v>0</v>
      </c>
      <c r="AI42" s="78"/>
      <c r="AJ42" s="84"/>
      <c r="AK42" s="171"/>
      <c r="AL42" s="171"/>
      <c r="AM42" s="169"/>
      <c r="AN42" s="200">
        <f t="shared" si="0"/>
        <v>0</v>
      </c>
      <c r="AO42" s="196">
        <f t="shared" si="2"/>
        <v>0</v>
      </c>
      <c r="AP42" s="33" t="str">
        <f t="shared" si="3"/>
        <v/>
      </c>
      <c r="AQ42" s="99">
        <f t="shared" si="1"/>
        <v>0</v>
      </c>
      <c r="AR42" s="218"/>
      <c r="AS42" s="217"/>
      <c r="AT42" s="219"/>
      <c r="AU42" s="48"/>
      <c r="AV42" s="5"/>
      <c r="AW42" s="5"/>
      <c r="BQ42" s="5"/>
      <c r="BR42" s="5"/>
    </row>
    <row r="43" spans="1:70" ht="15" customHeight="1">
      <c r="A43" s="54">
        <f t="shared" si="14"/>
        <v>1</v>
      </c>
      <c r="B43" s="62">
        <f t="shared" si="6"/>
        <v>34</v>
      </c>
      <c r="C43" s="182">
        <v>99.68</v>
      </c>
      <c r="D43" s="192">
        <v>46196</v>
      </c>
      <c r="E43" s="185" t="s">
        <v>169</v>
      </c>
      <c r="G43" s="58" t="str">
        <f t="shared" si="16"/>
        <v/>
      </c>
      <c r="I43" s="153" t="s">
        <v>2</v>
      </c>
      <c r="J43" s="207">
        <f t="shared" si="17"/>
        <v>46295.68</v>
      </c>
      <c r="K43" s="207">
        <f t="shared" si="20"/>
        <v>46295.68</v>
      </c>
      <c r="L43" s="153" t="s">
        <v>10</v>
      </c>
      <c r="M43" s="254">
        <f>IF(L43=$Y$103,MAX($M$10:M42)+1,0)</f>
        <v>3</v>
      </c>
      <c r="N43" s="261">
        <f>IF(L43=$Y$119,MAX($N$10:N42)+1,0)</f>
        <v>0</v>
      </c>
      <c r="O43" s="224" t="s">
        <v>98</v>
      </c>
      <c r="P43" s="130" t="s">
        <v>90</v>
      </c>
      <c r="Q43" s="135" t="str">
        <f t="shared" si="18"/>
        <v>P</v>
      </c>
      <c r="R43" s="132">
        <v>3</v>
      </c>
      <c r="S43" s="134" t="str">
        <f t="shared" si="19"/>
        <v>de</v>
      </c>
      <c r="T43" s="133">
        <v>4</v>
      </c>
      <c r="V43" s="58">
        <f t="shared" si="10"/>
        <v>99.68</v>
      </c>
      <c r="X43" s="30"/>
      <c r="Y43" s="94">
        <f t="shared" si="15"/>
        <v>32.700000000000003</v>
      </c>
      <c r="Z43" s="88"/>
      <c r="AA43" s="95" t="s">
        <v>37</v>
      </c>
      <c r="AB43" s="88"/>
      <c r="AC43" s="162"/>
      <c r="AD43" s="49">
        <f>SUM(SUMIFS($G$10:$G$200,$L$10:$L$200,"Uber",$P$10:$P$200,"AV"),SUMIFS($V$10:$V$200,$L$10:$L$200,"Uber",$P$10:$P$200,"AV"))</f>
        <v>0</v>
      </c>
      <c r="AE43" s="49">
        <f>SUM(SUMIFS($G$10:$G$200,$L$10:$L$200,"Uber",$P$10:$P$200,"IT"),SUMIFS($V$10:$V$200,$L$10:$L$200,"Uber",$P$10:$P$200,"IT"))</f>
        <v>32.700000000000003</v>
      </c>
      <c r="AF43" s="49">
        <f>SUM(SUMIFS($G$10:$G$200,$L$10:$L$200,"Uber",$P$10:$P$200,"IT2"),SUMIFS($V$10:$V$200,$L$10:$L$200,"Uber",$P$10:$P$200,"IT2"))</f>
        <v>0</v>
      </c>
      <c r="AG43" s="49">
        <f>SUM(SUMIFS($G$10:$G$200,$L$10:$L$200,"Uber",$P$10:$P$200,"ITP"),SUMIFS($V$10:$V$200,$L$10:$L$200,"Uber",$P$10:$P$200,"ITP"))</f>
        <v>0</v>
      </c>
      <c r="AH43" s="49">
        <f>SUM(SUMIFS($G$10:$G$200,$L$10:$L$200,"Uber",$P$10:$P$200,"C6"),SUMIFS($V$10:$V$200,$L$10:$L$200,"Uber",$P$10:$P$200,"C6"))</f>
        <v>0</v>
      </c>
      <c r="AI43" s="78"/>
      <c r="AJ43" s="84"/>
      <c r="AK43" s="168"/>
      <c r="AL43" s="168"/>
      <c r="AM43" s="169"/>
      <c r="AN43" s="200">
        <f t="shared" si="0"/>
        <v>0</v>
      </c>
      <c r="AO43" s="196">
        <f t="shared" si="2"/>
        <v>0</v>
      </c>
      <c r="AP43" s="33" t="str">
        <f t="shared" si="3"/>
        <v/>
      </c>
      <c r="AQ43" s="99">
        <f t="shared" si="1"/>
        <v>0</v>
      </c>
      <c r="AR43" s="218"/>
      <c r="AS43" s="217"/>
      <c r="AT43" s="219"/>
      <c r="AU43" s="48"/>
      <c r="AV43" s="5"/>
      <c r="AW43" s="5"/>
      <c r="BQ43" s="5"/>
      <c r="BR43" s="5"/>
    </row>
    <row r="44" spans="1:70" ht="15" customHeight="1">
      <c r="A44" s="54">
        <f t="shared" si="14"/>
        <v>1</v>
      </c>
      <c r="B44" s="62">
        <f t="shared" si="6"/>
        <v>35</v>
      </c>
      <c r="C44" s="182">
        <v>131.09</v>
      </c>
      <c r="D44" s="192">
        <v>46199</v>
      </c>
      <c r="E44" s="185" t="s">
        <v>24</v>
      </c>
      <c r="G44" s="58" t="str">
        <f t="shared" si="16"/>
        <v/>
      </c>
      <c r="I44" s="153" t="s">
        <v>2</v>
      </c>
      <c r="J44" s="207">
        <f t="shared" si="17"/>
        <v>46330.09</v>
      </c>
      <c r="K44" s="207">
        <f t="shared" si="20"/>
        <v>46330.09</v>
      </c>
      <c r="L44" s="153" t="s">
        <v>28</v>
      </c>
      <c r="M44" s="254">
        <f>IF(L44=$Y$103,MAX($M$10:M43)+1,0)</f>
        <v>0</v>
      </c>
      <c r="N44" s="261">
        <f>IF(L44=$Y$119,MAX($N$10:N43)+1,0)</f>
        <v>0</v>
      </c>
      <c r="O44" s="224" t="s">
        <v>89</v>
      </c>
      <c r="P44" s="130" t="s">
        <v>90</v>
      </c>
      <c r="Q44" s="135" t="str">
        <f t="shared" si="18"/>
        <v>P</v>
      </c>
      <c r="R44" s="132">
        <v>3</v>
      </c>
      <c r="S44" s="134" t="str">
        <f t="shared" si="19"/>
        <v>de</v>
      </c>
      <c r="T44" s="133">
        <v>3</v>
      </c>
      <c r="V44" s="58">
        <f t="shared" si="10"/>
        <v>131.09</v>
      </c>
      <c r="X44" s="30"/>
      <c r="Y44" s="94">
        <f t="shared" si="15"/>
        <v>100</v>
      </c>
      <c r="Z44" s="88"/>
      <c r="AA44" s="95" t="s">
        <v>21</v>
      </c>
      <c r="AB44" s="88"/>
      <c r="AC44" s="162"/>
      <c r="AD44" s="49">
        <f>SUM(SUMIFS($G$10:$G$200,$L$10:$L$200,"Carro",$P$10:$P$200,"AV"),SUMIFS($V$10:$V$200,$L$10:$L$200,"Carro",$P$10:$P$200,"AV"))</f>
        <v>0</v>
      </c>
      <c r="AE44" s="49">
        <f>SUM(SUMIFS($G$10:$G$200,$L$10:$L$200,"Carro",$P$10:$P$200,"IT"),SUMIFS($V$10:$V$200,$L$10:$L$200,"Carro",$P$10:$P$200,"IT"))</f>
        <v>100</v>
      </c>
      <c r="AF44" s="49">
        <f>SUM(SUMIFS($G$10:$G$200,$L$10:$L$200,"Carro",$P$10:$P$200,"IT2"),SUMIFS($V$10:$V$200,$L$10:$L$200,"Carro",$P$10:$P$200,"IT2"))</f>
        <v>0</v>
      </c>
      <c r="AG44" s="49">
        <f>SUM(SUMIFS($G$10:$G$200,$L$10:$L$200,"Carro",$P$10:$P$200,"ITP"),SUMIFS($V$10:$V$200,$L$10:$L$200,"Carro",$P$10:$P$200,"ITP"))</f>
        <v>0</v>
      </c>
      <c r="AH44" s="49">
        <f>SUM(SUMIFS($G$10:$G$200,$L$10:$L$200,"Carro",$P$10:$P$200,"C6"),SUMIFS($V$10:$V$200,$L$10:$L$200,"Carro",$P$10:$P$200,"C6"))</f>
        <v>0</v>
      </c>
      <c r="AI44" s="78"/>
      <c r="AJ44" s="84"/>
      <c r="AK44" s="168"/>
      <c r="AL44" s="168"/>
      <c r="AM44" s="169"/>
      <c r="AN44" s="200">
        <f t="shared" si="0"/>
        <v>0</v>
      </c>
      <c r="AO44" s="196">
        <f t="shared" si="2"/>
        <v>0</v>
      </c>
      <c r="AP44" s="33" t="str">
        <f t="shared" si="3"/>
        <v/>
      </c>
      <c r="AQ44" s="99">
        <f t="shared" si="1"/>
        <v>0</v>
      </c>
      <c r="AR44" s="218"/>
      <c r="AS44" s="217"/>
      <c r="AT44" s="219"/>
      <c r="AU44" s="48"/>
      <c r="AV44" s="5"/>
      <c r="AW44" s="5"/>
      <c r="BQ44" s="5"/>
      <c r="BR44" s="5"/>
    </row>
    <row r="45" spans="1:70" ht="15" customHeight="1">
      <c r="A45" s="54">
        <f t="shared" si="14"/>
        <v>1</v>
      </c>
      <c r="B45" s="62">
        <f t="shared" si="6"/>
        <v>36</v>
      </c>
      <c r="C45" s="182">
        <v>142.85</v>
      </c>
      <c r="D45" s="192">
        <v>46198</v>
      </c>
      <c r="E45" s="185" t="s">
        <v>170</v>
      </c>
      <c r="G45" s="58" t="str">
        <f t="shared" si="16"/>
        <v/>
      </c>
      <c r="I45" s="153" t="s">
        <v>2</v>
      </c>
      <c r="J45" s="207">
        <f t="shared" si="17"/>
        <v>46340.85</v>
      </c>
      <c r="K45" s="207">
        <f t="shared" si="20"/>
        <v>46340.85</v>
      </c>
      <c r="L45" s="153" t="s">
        <v>10</v>
      </c>
      <c r="M45" s="254">
        <f>IF(L45=$Y$103,MAX($M$10:M44)+1,0)</f>
        <v>4</v>
      </c>
      <c r="N45" s="261">
        <f>IF(L45=$Y$119,MAX($N$10:N44)+1,0)</f>
        <v>0</v>
      </c>
      <c r="O45" s="224" t="s">
        <v>98</v>
      </c>
      <c r="P45" s="130" t="s">
        <v>90</v>
      </c>
      <c r="Q45" s="135" t="str">
        <f t="shared" si="18"/>
        <v>P</v>
      </c>
      <c r="R45" s="132">
        <v>3</v>
      </c>
      <c r="S45" s="134" t="str">
        <f t="shared" si="19"/>
        <v>de</v>
      </c>
      <c r="T45" s="133">
        <v>6</v>
      </c>
      <c r="V45" s="58">
        <f t="shared" si="10"/>
        <v>142.85</v>
      </c>
      <c r="X45" s="30"/>
      <c r="Y45" s="94">
        <f t="shared" si="15"/>
        <v>275.99</v>
      </c>
      <c r="Z45" s="88"/>
      <c r="AA45" s="95" t="s">
        <v>13</v>
      </c>
      <c r="AB45" s="88"/>
      <c r="AC45" s="162"/>
      <c r="AD45" s="49">
        <f>SUM(SUMIFS($G$10:$G$200,$L$10:$L$200,"Moto",$P$10:$P$200,"AV"),SUMIFS($V$10:$V$200,$L$10:$L$200,"Moto",$P$10:$P$200,"AV"))</f>
        <v>50</v>
      </c>
      <c r="AE45" s="49">
        <f>SUM(SUMIFS($G$10:$G$200,$L$10:$L$200,"Moto",$P$10:$P$200,"IT"),SUMIFS($V$10:$V$200,$L$10:$L$200,"Moto",$P$10:$P$200,"IT"))</f>
        <v>225.99</v>
      </c>
      <c r="AF45" s="49">
        <f>SUM(SUMIFS($G$10:$G$200,$L$10:$L$200,"Moto",$P$10:$P$200,"IT2"),SUMIFS($V$10:$V$200,$L$10:$L$200,"Moto",$P$10:$P$200,"IT2"))</f>
        <v>0</v>
      </c>
      <c r="AG45" s="49">
        <f>SUM(SUMIFS($G$10:$G$200,$L$10:$L$200,"Moto",$P$10:$P$200,"ITP"),SUMIFS($V$10:$V$200,$L$10:$L$200,"Moto",$P$10:$P$200,"ITP"))</f>
        <v>0</v>
      </c>
      <c r="AH45" s="49">
        <f>SUM(SUMIFS($G$10:$G$200,$L$10:$L$200,"Moto",$P$10:$P$200,"C6"),SUMIFS($V$10:$V$200,$L$10:$L$200,"Moto",$P$10:$P$200,"C6"))</f>
        <v>0</v>
      </c>
      <c r="AI45" s="78"/>
      <c r="AJ45" s="84"/>
      <c r="AK45" s="168"/>
      <c r="AL45" s="168"/>
      <c r="AM45" s="169"/>
      <c r="AN45" s="200">
        <f t="shared" si="0"/>
        <v>0</v>
      </c>
      <c r="AO45" s="196">
        <f t="shared" si="2"/>
        <v>0</v>
      </c>
      <c r="AP45" s="33" t="str">
        <f t="shared" si="3"/>
        <v/>
      </c>
      <c r="AQ45" s="99">
        <f t="shared" si="1"/>
        <v>0</v>
      </c>
      <c r="AR45" s="218"/>
      <c r="AS45" s="217"/>
      <c r="AT45" s="219"/>
      <c r="AU45" s="48"/>
      <c r="AV45" s="5"/>
      <c r="AW45" s="5"/>
      <c r="BQ45" s="5"/>
      <c r="BR45" s="5"/>
    </row>
    <row r="46" spans="1:70" ht="15" customHeight="1">
      <c r="A46" s="54">
        <f t="shared" si="14"/>
        <v>1</v>
      </c>
      <c r="B46" s="62">
        <f t="shared" si="6"/>
        <v>37</v>
      </c>
      <c r="C46" s="182">
        <v>43.75</v>
      </c>
      <c r="D46" s="191">
        <v>46220</v>
      </c>
      <c r="E46" s="185" t="s">
        <v>178</v>
      </c>
      <c r="G46" s="58" t="str">
        <f t="shared" si="16"/>
        <v/>
      </c>
      <c r="I46" s="130" t="s">
        <v>2</v>
      </c>
      <c r="J46" s="207">
        <f t="shared" si="17"/>
        <v>46263.75</v>
      </c>
      <c r="K46" s="207">
        <f t="shared" si="20"/>
        <v>46263.75</v>
      </c>
      <c r="L46" s="153" t="s">
        <v>137</v>
      </c>
      <c r="M46" s="254">
        <f>IF(L46=$Y$103,MAX($M$10:M45)+1,0)</f>
        <v>0</v>
      </c>
      <c r="N46" s="261">
        <f>IF(L46=$Y$119,MAX($N$10:N45)+1,0)</f>
        <v>0</v>
      </c>
      <c r="O46" s="224" t="s">
        <v>98</v>
      </c>
      <c r="P46" s="130" t="s">
        <v>8</v>
      </c>
      <c r="Q46" s="135" t="str">
        <f t="shared" si="18"/>
        <v>P</v>
      </c>
      <c r="R46" s="132">
        <v>2</v>
      </c>
      <c r="S46" s="134" t="str">
        <f t="shared" si="19"/>
        <v>de</v>
      </c>
      <c r="T46" s="133">
        <v>3</v>
      </c>
      <c r="V46" s="58">
        <f t="shared" si="10"/>
        <v>43.75</v>
      </c>
      <c r="X46" s="30"/>
      <c r="Y46" s="150">
        <f t="shared" si="15"/>
        <v>477.89</v>
      </c>
      <c r="Z46" s="88"/>
      <c r="AA46" s="93" t="s">
        <v>111</v>
      </c>
      <c r="AB46" s="88"/>
      <c r="AC46" s="161"/>
      <c r="AD46" s="43">
        <f>SUM(SUMIFS($G$10:$G$200,$L$10:$L$200,"Extras J",$P$10:$P$200,"AV"),SUMIFS($V$10:$V$200,$L$10:$L$200,"Extras J",$P$10:$P$200,"AV"))</f>
        <v>143</v>
      </c>
      <c r="AE46" s="43">
        <f>SUM(SUMIFS($G$10:$G$200,$L$10:$L$200,"Extras J",$P$10:$P$200,"IT"),SUMIFS($V$10:$V$200,$L$10:$L$200,"Extras J",$P$10:$P$200,"IT"))</f>
        <v>248.14000000000001</v>
      </c>
      <c r="AF46" s="43">
        <f>SUM(SUMIFS($G$10:$G$200,$L$10:$L$200,"Extras J",$P$10:$P$200,"IT2"),SUMIFS($V$10:$V$200,$L$10:$L$200,"Extras J",$P$10:$P$200,"IT2"))</f>
        <v>0</v>
      </c>
      <c r="AG46" s="43">
        <f>SUM(SUMIFS($G$10:$G$200,$L$10:$L$200,"Extras J",$P$10:$P$200,"ITP"),SUMIFS($V$10:$V$200,$L$10:$L$200,"Extras J",$P$10:$P$200,"ITP"))</f>
        <v>0</v>
      </c>
      <c r="AH46" s="43">
        <f>SUM(SUMIFS($G$10:$G$200,$L$10:$L$200,"Extras J",$P$10:$P$200,"C6"),SUMIFS($V$10:$V$200,$L$10:$L$200,"Extras J",$P$10:$P$200,"C6"))</f>
        <v>86.75</v>
      </c>
      <c r="AI46" s="78"/>
      <c r="AJ46" s="84"/>
      <c r="AK46" s="168"/>
      <c r="AL46" s="168"/>
      <c r="AM46" s="169"/>
      <c r="AN46" s="200">
        <f t="shared" si="0"/>
        <v>0</v>
      </c>
      <c r="AO46" s="196">
        <f t="shared" si="2"/>
        <v>0</v>
      </c>
      <c r="AP46" s="33" t="str">
        <f t="shared" si="3"/>
        <v/>
      </c>
      <c r="AQ46" s="99">
        <f t="shared" si="1"/>
        <v>0</v>
      </c>
      <c r="AR46" s="218"/>
      <c r="AS46" s="217"/>
      <c r="AT46" s="219"/>
      <c r="AU46" s="48"/>
      <c r="AV46" s="5"/>
      <c r="AW46" s="5"/>
      <c r="BQ46" s="5"/>
      <c r="BR46" s="5"/>
    </row>
    <row r="47" spans="1:70" ht="15" customHeight="1">
      <c r="A47" s="54">
        <f t="shared" si="14"/>
        <v>1</v>
      </c>
      <c r="B47" s="73">
        <f t="shared" si="6"/>
        <v>38</v>
      </c>
      <c r="C47" s="182">
        <v>123.34</v>
      </c>
      <c r="D47" s="191">
        <v>46227</v>
      </c>
      <c r="E47" s="185" t="s">
        <v>179</v>
      </c>
      <c r="G47" s="58" t="str">
        <f t="shared" si="16"/>
        <v/>
      </c>
      <c r="I47" s="153" t="s">
        <v>2</v>
      </c>
      <c r="J47" s="207">
        <f t="shared" si="17"/>
        <v>46350.34</v>
      </c>
      <c r="K47" s="207">
        <f t="shared" si="20"/>
        <v>46350.34</v>
      </c>
      <c r="L47" s="153" t="s">
        <v>137</v>
      </c>
      <c r="M47" s="254">
        <f>IF(L47=$Y$103,MAX($M$10:M46)+1,0)</f>
        <v>0</v>
      </c>
      <c r="N47" s="261">
        <f>IF(L47=$Y$119,MAX($N$10:N46)+1,0)</f>
        <v>0</v>
      </c>
      <c r="O47" s="224" t="s">
        <v>94</v>
      </c>
      <c r="P47" s="130" t="s">
        <v>90</v>
      </c>
      <c r="Q47" s="135" t="str">
        <f t="shared" si="18"/>
        <v>P</v>
      </c>
      <c r="R47" s="132">
        <v>2</v>
      </c>
      <c r="S47" s="134" t="str">
        <f t="shared" si="19"/>
        <v>de</v>
      </c>
      <c r="T47" s="133">
        <v>3</v>
      </c>
      <c r="V47" s="58">
        <f t="shared" si="10"/>
        <v>123.34</v>
      </c>
      <c r="X47" s="30"/>
      <c r="Y47" s="123">
        <f t="shared" si="15"/>
        <v>1004.1400000000001</v>
      </c>
      <c r="Z47" s="88"/>
      <c r="AA47" s="126" t="s">
        <v>10</v>
      </c>
      <c r="AB47" s="88"/>
      <c r="AC47" s="129" t="str">
        <f>IF(500-AD47-AE47-AF47-AG47-AH47&lt;0,"R$ 0,00",500-AD47-AE47-AF47-AG47-AH47)</f>
        <v>R$ 0,00</v>
      </c>
      <c r="AD47" s="151">
        <f>SUM(SUMIFS($G$10:$G$200,$L$10:$L$200,"João",$P$10:$P$200,"AV"),SUMIFS($V$10:$V$200,$L$10:$L$200,"João",$P$10:$P$200,"AV"))</f>
        <v>0</v>
      </c>
      <c r="AE47" s="151">
        <f>SUM(SUMIFS($G$10:$G$200,$L$10:$L$200,"João",$P$10:$P$200,"IT"),SUMIFS($V$10:$V$200,$L$10:$L$200,"João",$P$10:$P$200,"IT"))</f>
        <v>629.09</v>
      </c>
      <c r="AF47" s="151">
        <f>SUM(SUMIFS($G$10:$G$200,$L$10:$L$200,"João",$P$10:$P$200,"IT2"),SUMIFS($V$10:$V$200,$L$10:$L$200,"João",$P$10:$P$200,"IT2"))</f>
        <v>0</v>
      </c>
      <c r="AG47" s="151">
        <f>SUM(SUMIFS($G$10:$G$200,$L$10:$L$200,"João",$P$10:$P$200,"ITP"),SUMIFS($V$10:$V$200,$L$10:$L$200,"João",$P$10:$P$200,"ITP"))</f>
        <v>0</v>
      </c>
      <c r="AH47" s="287">
        <f>SUM(SUMIFS($G$10:$G$200,$L$10:$L$200,"João",$P$10:$P$200,"C6"),SUMIFS($V$10:$V$200,$L$10:$L$200,"João",$P$10:$P$200,"C6"))</f>
        <v>375.05000000000007</v>
      </c>
      <c r="AI47" s="78"/>
      <c r="AJ47" s="84"/>
      <c r="AK47" s="168"/>
      <c r="AL47" s="168"/>
      <c r="AM47" s="169"/>
      <c r="AN47" s="200">
        <f t="shared" si="0"/>
        <v>0</v>
      </c>
      <c r="AO47" s="196">
        <f t="shared" si="2"/>
        <v>0</v>
      </c>
      <c r="AP47" s="33" t="str">
        <f t="shared" si="3"/>
        <v/>
      </c>
      <c r="AQ47" s="99">
        <f t="shared" si="1"/>
        <v>0</v>
      </c>
      <c r="AR47" s="218"/>
      <c r="AS47" s="217"/>
      <c r="AT47" s="219"/>
      <c r="AU47" s="48"/>
      <c r="AV47" s="5"/>
      <c r="AW47" s="5"/>
      <c r="BQ47" s="5"/>
      <c r="BR47" s="5"/>
    </row>
    <row r="48" spans="1:70" ht="15" customHeight="1">
      <c r="A48" s="54">
        <f t="shared" si="14"/>
        <v>1</v>
      </c>
      <c r="B48" s="73">
        <f t="shared" si="6"/>
        <v>39</v>
      </c>
      <c r="C48" s="182">
        <v>137.47</v>
      </c>
      <c r="D48" s="191">
        <v>46245</v>
      </c>
      <c r="E48" s="184" t="s">
        <v>69</v>
      </c>
      <c r="G48" s="58" t="str">
        <f t="shared" ref="G48:G55" si="21">IF(OR(C48="",I48="Pago"),"",C48)</f>
        <v/>
      </c>
      <c r="I48" s="153" t="s">
        <v>2</v>
      </c>
      <c r="J48" s="207">
        <f t="shared" ref="J48:J55" si="22">C48+D48</f>
        <v>46382.47</v>
      </c>
      <c r="K48" s="207">
        <f t="shared" si="20"/>
        <v>46382.47</v>
      </c>
      <c r="L48" s="153" t="s">
        <v>5</v>
      </c>
      <c r="M48" s="254">
        <f>IF(L48=$Y$103,MAX($M$10:M47)+1,0)</f>
        <v>0</v>
      </c>
      <c r="N48" s="261">
        <f>IF(L48=$Y$119,MAX($N$10:N47)+1,0)</f>
        <v>1</v>
      </c>
      <c r="O48" s="224" t="s">
        <v>89</v>
      </c>
      <c r="P48" s="130" t="s">
        <v>90</v>
      </c>
      <c r="Q48" s="135" t="str">
        <f t="shared" ref="Q48:Q55" si="23">IF(P48="AV","8",IF(AND(J48=0,K48=0),"",IF(J48=K48,"P",IF(J48&lt;&gt;K48,"O"))))</f>
        <v>P</v>
      </c>
      <c r="R48" s="132"/>
      <c r="S48" s="134"/>
      <c r="T48" s="133"/>
      <c r="V48" s="58">
        <f t="shared" si="10"/>
        <v>137.47</v>
      </c>
      <c r="X48" s="30"/>
      <c r="Y48" s="123">
        <f t="shared" si="15"/>
        <v>1126.56</v>
      </c>
      <c r="Z48" s="88"/>
      <c r="AA48" s="104" t="s">
        <v>5</v>
      </c>
      <c r="AB48" s="88"/>
      <c r="AC48" s="176" t="str">
        <f>IF(550-AD48-AE48-AF48-AG48-AH48&lt;0,"R$ 0,00",550-AD48-AE48-AF48-AG48-AH48)</f>
        <v>R$ 0,00</v>
      </c>
      <c r="AD48" s="279">
        <f>SUM(SUMIFS($G$10:$G$200,$L$10:$L$200,"Flavia",$P$10:$P$200,"AV"),SUMIFS($V$10:$V$200,$L$10:$L$200,"Flavia",$P$10:$P$200,"AV"))</f>
        <v>25</v>
      </c>
      <c r="AE48" s="279">
        <f>SUM(SUMIFS($G$10:$G$200,$L$10:$L$200,"Flavia",$P$10:$P$200,"IT"),SUMIFS($V$10:$V$200,$L$10:$L$200,"Flavia",$P$10:$P$200,"IT"))</f>
        <v>1101.56</v>
      </c>
      <c r="AF48" s="279">
        <f>SUM(SUMIFS($G$10:$G$200,$L$10:$L$200,"Flavia",$P$10:$P$200,"IT2"),SUMIFS($V$10:$V$200,$L$10:$L$200,"Flavia",$P$10:$P$200,"IT2"))</f>
        <v>0</v>
      </c>
      <c r="AG48" s="279">
        <f>SUM(SUMIFS($G$10:$G$200,$L$10:$L$200,"Flavia",$P$10:$P$200,"ITP"),SUMIFS($V$10:$V$200,$L$10:$L$200,"Flavia",$P$10:$P$200,"ITP"))</f>
        <v>0</v>
      </c>
      <c r="AH48" s="288">
        <f>SUM(SUMIFS($G$10:$G$200,$L$10:$L$200,"Flavia",$P$10:$P$200,"C6"),SUMIFS($V$10:$V$200,$L$10:$L$200,"Flavia",$P$10:$P$200,"C6"))</f>
        <v>0</v>
      </c>
      <c r="AI48" s="78"/>
      <c r="AJ48" s="84"/>
      <c r="AK48" s="168"/>
      <c r="AL48" s="168"/>
      <c r="AM48" s="169"/>
      <c r="AN48" s="200">
        <f t="shared" ref="AN48:AN61" si="24">IFERROR(VLOOKUP(AO48,$J$10:$J$199,1,0),"")</f>
        <v>0</v>
      </c>
      <c r="AO48" s="196">
        <f t="shared" ref="AO48:AO61" si="25">AR48+AT48</f>
        <v>0</v>
      </c>
      <c r="AP48" s="33" t="str">
        <f t="shared" ref="AP48:AP61" si="26">IF(AND(AN48=0,AO48=0),"",IF(AN48=AO48,"P",IF(AN48&lt;&gt;AO48,"O")))</f>
        <v/>
      </c>
      <c r="AQ48" s="99">
        <f t="shared" ref="AQ48:AQ61" si="27">IFERROR(VLOOKUP(AO48,$J$10:$L$199,3,0),"")</f>
        <v>0</v>
      </c>
      <c r="AR48" s="218"/>
      <c r="AS48" s="217"/>
      <c r="AT48" s="219"/>
      <c r="AU48" s="48"/>
      <c r="AV48" s="5"/>
      <c r="AW48" s="5"/>
      <c r="BQ48" s="5"/>
      <c r="BR48" s="5"/>
    </row>
    <row r="49" spans="1:72" ht="15" customHeight="1">
      <c r="A49" s="54">
        <f t="shared" si="14"/>
        <v>1</v>
      </c>
      <c r="B49" s="73">
        <f t="shared" si="6"/>
        <v>40</v>
      </c>
      <c r="C49" s="182">
        <v>240.59</v>
      </c>
      <c r="D49" s="191">
        <v>46245</v>
      </c>
      <c r="E49" s="184" t="s">
        <v>18</v>
      </c>
      <c r="G49" s="58" t="str">
        <f t="shared" si="21"/>
        <v/>
      </c>
      <c r="I49" s="153" t="s">
        <v>2</v>
      </c>
      <c r="J49" s="207">
        <f t="shared" si="22"/>
        <v>46485.59</v>
      </c>
      <c r="K49" s="207">
        <f t="shared" si="20"/>
        <v>46485.59</v>
      </c>
      <c r="L49" s="153" t="s">
        <v>5</v>
      </c>
      <c r="M49" s="254">
        <f>IF(L49=$Y$103,MAX($M$10:M48)+1,0)</f>
        <v>0</v>
      </c>
      <c r="N49" s="261">
        <f>IF(L49=$Y$119,MAX($N$10:N48)+1,0)</f>
        <v>2</v>
      </c>
      <c r="O49" s="224" t="s">
        <v>89</v>
      </c>
      <c r="P49" s="130" t="s">
        <v>90</v>
      </c>
      <c r="Q49" s="135" t="str">
        <f t="shared" si="23"/>
        <v>P</v>
      </c>
      <c r="R49" s="132"/>
      <c r="S49" s="134"/>
      <c r="T49" s="133"/>
      <c r="V49" s="58">
        <f t="shared" si="10"/>
        <v>240.59</v>
      </c>
      <c r="X49" s="30"/>
      <c r="Y49" s="94">
        <f t="shared" si="15"/>
        <v>4109.6499999999996</v>
      </c>
      <c r="Z49" s="88"/>
      <c r="AA49" s="97" t="s">
        <v>7</v>
      </c>
      <c r="AB49" s="88"/>
      <c r="AC49" s="157"/>
      <c r="AD49" s="43">
        <f>SUM(SUMIFS($G$10:$G$200,$L$10:$L$200,"Guto",$P$10:$P$200,"AV"),SUMIFS($V$10:$V$200,$L$10:$L$200,"Guto",$P$10:$P$200,"AV"))</f>
        <v>3005.68</v>
      </c>
      <c r="AE49" s="43">
        <f>SUM(SUMIFS($G$10:$G$200,$L$10:$L$200,"Guto",$P$10:$P$200,"IT"),SUMIFS($V$10:$V$200,$L$10:$L$200,"Guto",$P$10:$P$200,"IT"))</f>
        <v>527.28</v>
      </c>
      <c r="AF49" s="43">
        <f>SUM(SUMIFS($G$10:$G$200,$L$10:$L$200,"Guto",$P$10:$P$200,"IT2"),SUMIFS($V$10:$V$200,$L$10:$L$200,"Guto",$P$10:$P$200,"IT2"))</f>
        <v>352</v>
      </c>
      <c r="AG49" s="43">
        <f>SUM(SUMIFS($G$10:$G$200,$L$10:$L$200,"Guto",$P$10:$P$200,"ITP"),SUMIFS($V$10:$V$200,$L$10:$L$200,"Guto",$P$10:$P$200,"ITP"))</f>
        <v>0</v>
      </c>
      <c r="AH49" s="43">
        <f>SUM(SUMIFS($G$10:$G$200,$L$10:$L$200,"Guto",$P$10:$P$200,"C6"),SUMIFS($V$10:$V$200,$L$10:$L$200,"Guto",$P$10:$P$200,"C6"))</f>
        <v>224.69</v>
      </c>
      <c r="AI49" s="78"/>
      <c r="AJ49" s="84"/>
      <c r="AK49" s="168"/>
      <c r="AL49" s="168"/>
      <c r="AM49" s="169"/>
      <c r="AN49" s="200">
        <f t="shared" si="24"/>
        <v>0</v>
      </c>
      <c r="AO49" s="196">
        <f t="shared" si="25"/>
        <v>0</v>
      </c>
      <c r="AP49" s="33" t="str">
        <f t="shared" si="26"/>
        <v/>
      </c>
      <c r="AQ49" s="99">
        <f t="shared" si="27"/>
        <v>0</v>
      </c>
      <c r="AR49" s="218"/>
      <c r="AS49" s="217"/>
      <c r="AT49" s="219"/>
      <c r="AU49" s="48"/>
      <c r="AV49" s="5"/>
      <c r="AW49" s="5"/>
      <c r="BQ49" s="5"/>
      <c r="BR49" s="5"/>
    </row>
    <row r="50" spans="1:72" ht="15" customHeight="1">
      <c r="A50" s="54">
        <f t="shared" si="14"/>
        <v>1</v>
      </c>
      <c r="B50" s="73">
        <f t="shared" si="6"/>
        <v>41</v>
      </c>
      <c r="C50" s="182">
        <v>63</v>
      </c>
      <c r="D50" s="191">
        <v>46246</v>
      </c>
      <c r="E50" s="184" t="s">
        <v>69</v>
      </c>
      <c r="G50" s="58" t="str">
        <f t="shared" si="21"/>
        <v/>
      </c>
      <c r="I50" s="153" t="s">
        <v>2</v>
      </c>
      <c r="J50" s="207">
        <f>C50+D50</f>
        <v>46309</v>
      </c>
      <c r="K50" s="207">
        <f t="shared" si="20"/>
        <v>46309</v>
      </c>
      <c r="L50" s="153" t="s">
        <v>5</v>
      </c>
      <c r="M50" s="254">
        <f>IF(L50=$Y$103,MAX($M$10:M49)+1,0)</f>
        <v>0</v>
      </c>
      <c r="N50" s="261">
        <f>IF(L50=$Y$119,MAX($N$10:N49)+1,0)</f>
        <v>3</v>
      </c>
      <c r="O50" s="224" t="s">
        <v>89</v>
      </c>
      <c r="P50" s="130" t="s">
        <v>90</v>
      </c>
      <c r="Q50" s="135" t="str">
        <f t="shared" si="23"/>
        <v>P</v>
      </c>
      <c r="R50" s="132"/>
      <c r="S50" s="134"/>
      <c r="T50" s="133"/>
      <c r="V50" s="58">
        <f t="shared" si="10"/>
        <v>63</v>
      </c>
      <c r="X50" s="30"/>
      <c r="Y50" s="759">
        <f>SUM(Y30:Y49)</f>
        <v>16958.22</v>
      </c>
      <c r="Z50" s="88"/>
      <c r="AA50" s="89"/>
      <c r="AB50" s="88"/>
      <c r="AC50" s="761">
        <f t="shared" ref="AC50:AH50" si="28">SUM(AC30:AC49)</f>
        <v>583.62999999999988</v>
      </c>
      <c r="AD50" s="781">
        <f t="shared" si="28"/>
        <v>9066.6799999999985</v>
      </c>
      <c r="AE50" s="763">
        <f t="shared" si="28"/>
        <v>3912.91</v>
      </c>
      <c r="AF50" s="763">
        <f t="shared" si="28"/>
        <v>411.9</v>
      </c>
      <c r="AG50" s="763">
        <f t="shared" si="28"/>
        <v>582.16000000000008</v>
      </c>
      <c r="AH50" s="763">
        <f t="shared" si="28"/>
        <v>2400.9400000000005</v>
      </c>
      <c r="AI50" s="78"/>
      <c r="AJ50" s="84"/>
      <c r="AK50" s="168"/>
      <c r="AL50" s="168"/>
      <c r="AM50" s="169"/>
      <c r="AN50" s="200">
        <f t="shared" si="24"/>
        <v>0</v>
      </c>
      <c r="AO50" s="196">
        <f t="shared" si="25"/>
        <v>0</v>
      </c>
      <c r="AP50" s="33" t="str">
        <f t="shared" si="26"/>
        <v/>
      </c>
      <c r="AQ50" s="99">
        <f t="shared" si="27"/>
        <v>0</v>
      </c>
      <c r="AR50" s="218"/>
      <c r="AS50" s="217"/>
      <c r="AT50" s="219"/>
      <c r="AU50" s="48"/>
      <c r="AV50" s="5"/>
      <c r="AW50" s="5"/>
      <c r="BQ50" s="5"/>
      <c r="BR50" s="5"/>
    </row>
    <row r="51" spans="1:72" ht="15" customHeight="1">
      <c r="A51" s="54">
        <f t="shared" si="14"/>
        <v>1</v>
      </c>
      <c r="B51" s="73">
        <f t="shared" si="6"/>
        <v>42</v>
      </c>
      <c r="C51" s="182">
        <v>30.36</v>
      </c>
      <c r="D51" s="191">
        <v>46246</v>
      </c>
      <c r="E51" s="184" t="s">
        <v>69</v>
      </c>
      <c r="G51" s="58" t="str">
        <f t="shared" si="21"/>
        <v/>
      </c>
      <c r="I51" s="153" t="s">
        <v>2</v>
      </c>
      <c r="J51" s="207">
        <f>C51+D51</f>
        <v>46276.36</v>
      </c>
      <c r="K51" s="207">
        <f t="shared" si="20"/>
        <v>46276.36</v>
      </c>
      <c r="L51" s="153" t="s">
        <v>5</v>
      </c>
      <c r="M51" s="254">
        <f>IF(L51=$Y$103,MAX($M$10:M50)+1,0)</f>
        <v>0</v>
      </c>
      <c r="N51" s="261">
        <f>IF(L51=$Y$119,MAX($N$10:N50)+1,0)</f>
        <v>4</v>
      </c>
      <c r="O51" s="224" t="s">
        <v>89</v>
      </c>
      <c r="P51" s="130" t="s">
        <v>90</v>
      </c>
      <c r="Q51" s="135" t="str">
        <f t="shared" si="23"/>
        <v>P</v>
      </c>
      <c r="R51" s="132"/>
      <c r="S51" s="134"/>
      <c r="T51" s="133"/>
      <c r="V51" s="58">
        <f t="shared" si="10"/>
        <v>30.36</v>
      </c>
      <c r="X51" s="30"/>
      <c r="Y51" s="760"/>
      <c r="Z51" s="88"/>
      <c r="AA51" s="89"/>
      <c r="AB51" s="88"/>
      <c r="AC51" s="762"/>
      <c r="AD51" s="782"/>
      <c r="AE51" s="764"/>
      <c r="AF51" s="764"/>
      <c r="AG51" s="764"/>
      <c r="AH51" s="764"/>
      <c r="AI51" s="78"/>
      <c r="AJ51" s="84"/>
      <c r="AK51" s="168"/>
      <c r="AL51" s="168"/>
      <c r="AM51" s="169"/>
      <c r="AN51" s="200">
        <f t="shared" si="24"/>
        <v>0</v>
      </c>
      <c r="AO51" s="196">
        <f t="shared" si="25"/>
        <v>0</v>
      </c>
      <c r="AP51" s="33" t="str">
        <f t="shared" si="26"/>
        <v/>
      </c>
      <c r="AQ51" s="99">
        <f t="shared" si="27"/>
        <v>0</v>
      </c>
      <c r="AR51" s="218"/>
      <c r="AS51" s="217"/>
      <c r="AT51" s="219"/>
      <c r="AU51" s="48"/>
      <c r="AV51" s="5"/>
      <c r="AW51" s="5"/>
      <c r="BQ51" s="5"/>
      <c r="BR51" s="5"/>
    </row>
    <row r="52" spans="1:72" ht="15" customHeight="1">
      <c r="A52" s="54">
        <f t="shared" si="14"/>
        <v>1</v>
      </c>
      <c r="B52" s="73">
        <f t="shared" si="6"/>
        <v>43</v>
      </c>
      <c r="C52" s="182">
        <v>66.64</v>
      </c>
      <c r="D52" s="191">
        <v>46246</v>
      </c>
      <c r="E52" s="184" t="s">
        <v>69</v>
      </c>
      <c r="G52" s="58" t="str">
        <f t="shared" si="21"/>
        <v/>
      </c>
      <c r="I52" s="153" t="s">
        <v>2</v>
      </c>
      <c r="J52" s="207">
        <f>C52+D52</f>
        <v>46312.639999999999</v>
      </c>
      <c r="K52" s="207">
        <f t="shared" si="20"/>
        <v>46312.639999999999</v>
      </c>
      <c r="L52" s="153" t="s">
        <v>5</v>
      </c>
      <c r="M52" s="254">
        <f>IF(L52=$Y$103,MAX($M$10:M51)+1,0)</f>
        <v>0</v>
      </c>
      <c r="N52" s="261">
        <f>IF(L52=$Y$119,MAX($N$10:N51)+1,0)</f>
        <v>5</v>
      </c>
      <c r="O52" s="224" t="s">
        <v>89</v>
      </c>
      <c r="P52" s="130" t="s">
        <v>90</v>
      </c>
      <c r="Q52" s="135" t="str">
        <f t="shared" si="23"/>
        <v>P</v>
      </c>
      <c r="R52" s="132"/>
      <c r="S52" s="134"/>
      <c r="T52" s="133"/>
      <c r="V52" s="58">
        <f t="shared" si="10"/>
        <v>66.64</v>
      </c>
      <c r="X52" s="30"/>
      <c r="Y52" s="119"/>
      <c r="Z52" s="119"/>
      <c r="AA52" s="119"/>
      <c r="AB52" s="119"/>
      <c r="AC52" s="119"/>
      <c r="AD52" s="119"/>
      <c r="AE52" s="773">
        <f>SUM(AE50:AF51)</f>
        <v>4324.8099999999995</v>
      </c>
      <c r="AF52" s="774"/>
      <c r="AG52" s="119"/>
      <c r="AH52" s="119"/>
      <c r="AI52" s="78"/>
      <c r="AJ52" s="84"/>
      <c r="AK52" s="84"/>
      <c r="AL52" s="84"/>
      <c r="AM52" s="172"/>
      <c r="AN52" s="200">
        <f t="shared" si="24"/>
        <v>0</v>
      </c>
      <c r="AO52" s="196">
        <f t="shared" si="25"/>
        <v>0</v>
      </c>
      <c r="AP52" s="33" t="str">
        <f t="shared" si="26"/>
        <v/>
      </c>
      <c r="AQ52" s="99">
        <f t="shared" si="27"/>
        <v>0</v>
      </c>
      <c r="AR52" s="218"/>
      <c r="AS52" s="217"/>
      <c r="AT52" s="219"/>
      <c r="AU52" s="48"/>
      <c r="AV52" s="5"/>
      <c r="AW52" s="5"/>
      <c r="BQ52" s="5"/>
      <c r="BR52" s="5"/>
    </row>
    <row r="53" spans="1:72" ht="15" customHeight="1">
      <c r="A53" s="54">
        <f t="shared" si="14"/>
        <v>1</v>
      </c>
      <c r="B53" s="73">
        <f t="shared" si="6"/>
        <v>44</v>
      </c>
      <c r="C53" s="182">
        <v>15</v>
      </c>
      <c r="D53" s="191">
        <v>46246</v>
      </c>
      <c r="E53" s="184" t="s">
        <v>182</v>
      </c>
      <c r="G53" s="58" t="str">
        <f>IF(OR(C53="",I53="Pago"),"",C53)</f>
        <v/>
      </c>
      <c r="I53" s="153" t="s">
        <v>2</v>
      </c>
      <c r="J53" s="207">
        <f t="shared" si="22"/>
        <v>46261</v>
      </c>
      <c r="K53" s="207">
        <f t="shared" si="20"/>
        <v>46261</v>
      </c>
      <c r="L53" s="153" t="s">
        <v>37</v>
      </c>
      <c r="M53" s="254">
        <f>IF(L53=$Y$103,MAX($M$10:M52)+1,0)</f>
        <v>0</v>
      </c>
      <c r="N53" s="261">
        <f>IF(L53=$Y$119,MAX($N$10:N52)+1,0)</f>
        <v>0</v>
      </c>
      <c r="O53" s="224" t="s">
        <v>98</v>
      </c>
      <c r="P53" s="130" t="s">
        <v>90</v>
      </c>
      <c r="Q53" s="135" t="str">
        <f t="shared" si="23"/>
        <v>P</v>
      </c>
      <c r="R53" s="132"/>
      <c r="S53" s="134"/>
      <c r="T53" s="133"/>
      <c r="V53" s="58">
        <f t="shared" si="10"/>
        <v>15</v>
      </c>
      <c r="X53" s="30"/>
      <c r="Y53" s="61"/>
      <c r="Z53" s="61"/>
      <c r="AA53" s="61"/>
      <c r="AB53" s="61"/>
      <c r="AC53" s="61"/>
      <c r="AD53" s="61"/>
      <c r="AE53" s="775"/>
      <c r="AF53" s="776"/>
      <c r="AG53" s="87"/>
      <c r="AH53" s="87"/>
      <c r="AI53" s="78"/>
      <c r="AJ53" s="84"/>
      <c r="AK53" s="84"/>
      <c r="AL53" s="84"/>
      <c r="AM53" s="168"/>
      <c r="AN53" s="200">
        <f t="shared" si="24"/>
        <v>0</v>
      </c>
      <c r="AO53" s="196">
        <f t="shared" si="25"/>
        <v>0</v>
      </c>
      <c r="AP53" s="33" t="str">
        <f t="shared" si="26"/>
        <v/>
      </c>
      <c r="AQ53" s="99">
        <f t="shared" si="27"/>
        <v>0</v>
      </c>
      <c r="AR53" s="218"/>
      <c r="AS53" s="217"/>
      <c r="AT53" s="219"/>
      <c r="AU53" s="48"/>
      <c r="AV53" s="5"/>
      <c r="AW53" s="5"/>
      <c r="BQ53" s="5"/>
      <c r="BR53" s="5"/>
    </row>
    <row r="54" spans="1:72" ht="15" customHeight="1">
      <c r="A54" s="54">
        <f t="shared" si="14"/>
        <v>1</v>
      </c>
      <c r="B54" s="73">
        <f t="shared" si="6"/>
        <v>45</v>
      </c>
      <c r="C54" s="182">
        <v>40</v>
      </c>
      <c r="D54" s="191">
        <v>46245</v>
      </c>
      <c r="E54" s="184" t="s">
        <v>183</v>
      </c>
      <c r="G54" s="58" t="str">
        <f t="shared" si="21"/>
        <v/>
      </c>
      <c r="I54" s="153" t="s">
        <v>2</v>
      </c>
      <c r="J54" s="207">
        <f t="shared" si="22"/>
        <v>46285</v>
      </c>
      <c r="K54" s="207">
        <f t="shared" si="20"/>
        <v>46285</v>
      </c>
      <c r="L54" s="153" t="s">
        <v>13</v>
      </c>
      <c r="M54" s="254">
        <f>IF(L54=$Y$103,MAX($M$10:M53)+1,0)</f>
        <v>0</v>
      </c>
      <c r="N54" s="261">
        <f>IF(L54=$Y$119,MAX($N$10:N53)+1,0)</f>
        <v>0</v>
      </c>
      <c r="O54" s="224" t="s">
        <v>94</v>
      </c>
      <c r="P54" s="130" t="s">
        <v>90</v>
      </c>
      <c r="Q54" s="135" t="str">
        <f t="shared" si="23"/>
        <v>P</v>
      </c>
      <c r="R54" s="132"/>
      <c r="S54" s="134"/>
      <c r="T54" s="133"/>
      <c r="V54" s="58">
        <f t="shared" si="10"/>
        <v>40</v>
      </c>
      <c r="X54" s="80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3"/>
      <c r="AN54" s="200">
        <f t="shared" si="24"/>
        <v>0</v>
      </c>
      <c r="AO54" s="196">
        <f t="shared" si="25"/>
        <v>0</v>
      </c>
      <c r="AP54" s="33" t="str">
        <f t="shared" si="26"/>
        <v/>
      </c>
      <c r="AQ54" s="99">
        <f t="shared" si="27"/>
        <v>0</v>
      </c>
      <c r="AR54" s="218"/>
      <c r="AS54" s="217"/>
      <c r="AT54" s="219"/>
      <c r="AU54" s="48"/>
      <c r="AV54" s="5"/>
      <c r="AW54" s="5"/>
      <c r="AX54" s="5"/>
      <c r="BQ54" s="5"/>
      <c r="BR54" s="5"/>
    </row>
    <row r="55" spans="1:72" ht="15" customHeight="1">
      <c r="A55" s="54">
        <f t="shared" si="14"/>
        <v>1</v>
      </c>
      <c r="B55" s="73">
        <f t="shared" si="6"/>
        <v>46</v>
      </c>
      <c r="C55" s="182">
        <v>2000</v>
      </c>
      <c r="D55" s="191">
        <v>46252</v>
      </c>
      <c r="E55" s="299" t="s">
        <v>184</v>
      </c>
      <c r="G55" s="58" t="str">
        <f t="shared" si="21"/>
        <v/>
      </c>
      <c r="I55" s="130" t="s">
        <v>2</v>
      </c>
      <c r="J55" s="207">
        <f t="shared" si="22"/>
        <v>48252</v>
      </c>
      <c r="K55" s="207" t="str">
        <f t="shared" si="20"/>
        <v/>
      </c>
      <c r="L55" s="153" t="s">
        <v>7</v>
      </c>
      <c r="M55" s="254">
        <f>IF(L55=$Y$103,MAX($M$10:M54)+1,0)</f>
        <v>0</v>
      </c>
      <c r="N55" s="261">
        <f>IF(L55=$Y$119,MAX($N$10:N54)+1,0)</f>
        <v>0</v>
      </c>
      <c r="O55" s="224" t="s">
        <v>94</v>
      </c>
      <c r="P55" s="130" t="s">
        <v>118</v>
      </c>
      <c r="Q55" s="135" t="str">
        <f t="shared" si="23"/>
        <v>8</v>
      </c>
      <c r="R55" s="132"/>
      <c r="S55" s="134"/>
      <c r="T55" s="133"/>
      <c r="V55" s="58">
        <f t="shared" si="10"/>
        <v>2000</v>
      </c>
      <c r="Y55" s="24"/>
      <c r="Z55" s="24"/>
      <c r="AA55" s="24"/>
      <c r="AB55" s="24"/>
      <c r="AC55" s="24"/>
      <c r="AD55" s="24"/>
      <c r="AE55" s="24"/>
      <c r="AF55" s="24"/>
      <c r="AN55" s="200">
        <f t="shared" si="24"/>
        <v>0</v>
      </c>
      <c r="AO55" s="196">
        <f t="shared" si="25"/>
        <v>0</v>
      </c>
      <c r="AP55" s="33" t="str">
        <f t="shared" si="26"/>
        <v/>
      </c>
      <c r="AQ55" s="99">
        <f t="shared" si="27"/>
        <v>0</v>
      </c>
      <c r="AR55" s="218"/>
      <c r="AS55" s="217"/>
      <c r="AT55" s="219"/>
      <c r="AU55" s="48"/>
      <c r="AV55" s="5"/>
      <c r="AW55" s="5"/>
      <c r="AX55" s="5"/>
      <c r="BQ55" s="5"/>
      <c r="BR55" s="5"/>
    </row>
    <row r="56" spans="1:72" ht="15" customHeight="1">
      <c r="A56" s="54">
        <f t="shared" ref="A56:A87" si="29">IF(B55&lt;&gt;"",1,"")</f>
        <v>1</v>
      </c>
      <c r="B56" s="73">
        <f t="shared" si="6"/>
        <v>47</v>
      </c>
      <c r="C56" s="182">
        <v>100</v>
      </c>
      <c r="D56" s="191">
        <v>46247</v>
      </c>
      <c r="E56" s="184" t="s">
        <v>185</v>
      </c>
      <c r="G56" s="58" t="str">
        <f t="shared" si="16"/>
        <v/>
      </c>
      <c r="I56" s="153" t="s">
        <v>2</v>
      </c>
      <c r="J56" s="207">
        <f t="shared" si="17"/>
        <v>46347</v>
      </c>
      <c r="K56" s="207">
        <f t="shared" si="20"/>
        <v>46347</v>
      </c>
      <c r="L56" s="153" t="s">
        <v>145</v>
      </c>
      <c r="M56" s="254">
        <f>IF(L56=$Y$103,MAX($M$10:M55)+1,0)</f>
        <v>0</v>
      </c>
      <c r="N56" s="261">
        <f>IF(L56=$Y$119,MAX($N$10:N55)+1,0)</f>
        <v>0</v>
      </c>
      <c r="O56" s="224" t="s">
        <v>94</v>
      </c>
      <c r="P56" s="130" t="s">
        <v>90</v>
      </c>
      <c r="Q56" s="135" t="str">
        <f t="shared" si="18"/>
        <v>P</v>
      </c>
      <c r="R56" s="132"/>
      <c r="S56" s="134"/>
      <c r="T56" s="133"/>
      <c r="V56" s="58">
        <f t="shared" si="10"/>
        <v>100</v>
      </c>
      <c r="Y56" s="24"/>
      <c r="Z56" s="24"/>
      <c r="AA56" s="24"/>
      <c r="AB56" s="24"/>
      <c r="AC56" s="24"/>
      <c r="AD56" s="24"/>
      <c r="AE56" s="24"/>
      <c r="AF56" s="24"/>
      <c r="AN56" s="200">
        <f t="shared" si="24"/>
        <v>0</v>
      </c>
      <c r="AO56" s="196">
        <f t="shared" si="25"/>
        <v>0</v>
      </c>
      <c r="AP56" s="33" t="str">
        <f t="shared" si="26"/>
        <v/>
      </c>
      <c r="AQ56" s="99">
        <f t="shared" si="27"/>
        <v>0</v>
      </c>
      <c r="AR56" s="218"/>
      <c r="AS56" s="217"/>
      <c r="AT56" s="219"/>
      <c r="AU56" s="48"/>
      <c r="AV56" s="5"/>
      <c r="AW56" s="5"/>
      <c r="AX56" s="5"/>
      <c r="BA56" s="3"/>
      <c r="BQ56" s="5"/>
      <c r="BR56" s="5"/>
    </row>
    <row r="57" spans="1:72" ht="15" customHeight="1">
      <c r="A57" s="54">
        <f t="shared" si="29"/>
        <v>1</v>
      </c>
      <c r="B57" s="73">
        <f t="shared" si="6"/>
        <v>48</v>
      </c>
      <c r="C57" s="182">
        <v>26.29</v>
      </c>
      <c r="D57" s="191">
        <v>46248</v>
      </c>
      <c r="E57" s="185" t="s">
        <v>187</v>
      </c>
      <c r="G57" s="58" t="str">
        <f t="shared" si="16"/>
        <v/>
      </c>
      <c r="I57" s="153" t="s">
        <v>2</v>
      </c>
      <c r="J57" s="207">
        <f t="shared" si="17"/>
        <v>46274.29</v>
      </c>
      <c r="K57" s="207">
        <f t="shared" si="20"/>
        <v>46274.29</v>
      </c>
      <c r="L57" s="153" t="s">
        <v>13</v>
      </c>
      <c r="M57" s="254">
        <f>IF(L57=$Y$103,MAX($M$10:M56)+1,0)</f>
        <v>0</v>
      </c>
      <c r="N57" s="261">
        <f>IF(L57=$Y$119,MAX($N$10:N56)+1,0)</f>
        <v>0</v>
      </c>
      <c r="O57" s="224" t="s">
        <v>94</v>
      </c>
      <c r="P57" s="130" t="s">
        <v>90</v>
      </c>
      <c r="Q57" s="135" t="str">
        <f t="shared" si="18"/>
        <v>P</v>
      </c>
      <c r="R57" s="132"/>
      <c r="S57" s="134"/>
      <c r="T57" s="133"/>
      <c r="V57" s="58">
        <f t="shared" si="10"/>
        <v>26.29</v>
      </c>
      <c r="X57" s="21"/>
      <c r="Y57" s="22"/>
      <c r="Z57" s="22"/>
      <c r="AA57" s="22"/>
      <c r="AB57" s="22"/>
      <c r="AC57" s="86"/>
      <c r="AD57" s="86"/>
      <c r="AE57" s="86"/>
      <c r="AF57" s="86"/>
      <c r="AG57" s="107"/>
      <c r="AK57" s="10"/>
      <c r="AL57" s="10"/>
      <c r="AM57" s="10"/>
      <c r="AN57" s="200">
        <f t="shared" si="24"/>
        <v>0</v>
      </c>
      <c r="AO57" s="196">
        <f t="shared" si="25"/>
        <v>0</v>
      </c>
      <c r="AP57" s="33" t="str">
        <f t="shared" si="26"/>
        <v/>
      </c>
      <c r="AQ57" s="99">
        <f t="shared" si="27"/>
        <v>0</v>
      </c>
      <c r="AR57" s="218"/>
      <c r="AS57" s="217"/>
      <c r="AT57" s="219"/>
      <c r="AU57" s="48"/>
      <c r="AV57" s="5"/>
      <c r="AW57" s="5"/>
      <c r="AX57" s="5"/>
      <c r="BA57" s="18"/>
      <c r="BB57" s="3"/>
      <c r="BQ57" s="5"/>
      <c r="BR57" s="5"/>
    </row>
    <row r="58" spans="1:72" ht="15" customHeight="1">
      <c r="A58" s="54">
        <f t="shared" si="29"/>
        <v>1</v>
      </c>
      <c r="B58" s="73">
        <f t="shared" si="6"/>
        <v>49</v>
      </c>
      <c r="C58" s="182">
        <v>18.989999999999998</v>
      </c>
      <c r="D58" s="191">
        <v>46248</v>
      </c>
      <c r="E58" s="185" t="s">
        <v>188</v>
      </c>
      <c r="G58" s="58" t="str">
        <f t="shared" si="16"/>
        <v/>
      </c>
      <c r="I58" s="153" t="s">
        <v>2</v>
      </c>
      <c r="J58" s="207">
        <f t="shared" si="17"/>
        <v>46266.99</v>
      </c>
      <c r="K58" s="207">
        <f t="shared" si="20"/>
        <v>46266.99</v>
      </c>
      <c r="L58" s="153" t="s">
        <v>13</v>
      </c>
      <c r="M58" s="254">
        <f>IF(L58=$Y$103,MAX($M$10:M57)+1,0)</f>
        <v>0</v>
      </c>
      <c r="N58" s="261">
        <f>IF(L58=$Y$119,MAX($N$10:N57)+1,0)</f>
        <v>0</v>
      </c>
      <c r="O58" s="224" t="s">
        <v>94</v>
      </c>
      <c r="P58" s="130" t="s">
        <v>90</v>
      </c>
      <c r="Q58" s="135" t="str">
        <f t="shared" si="18"/>
        <v>P</v>
      </c>
      <c r="R58" s="132"/>
      <c r="S58" s="134"/>
      <c r="T58" s="133"/>
      <c r="V58" s="58">
        <f t="shared" si="10"/>
        <v>18.989999999999998</v>
      </c>
      <c r="X58" s="30"/>
      <c r="Y58" s="563" t="s">
        <v>159</v>
      </c>
      <c r="Z58" s="88"/>
      <c r="AA58" s="542" t="s">
        <v>0</v>
      </c>
      <c r="AB58" s="128"/>
      <c r="AC58" s="777" t="s">
        <v>33</v>
      </c>
      <c r="AD58" s="779" t="s">
        <v>10</v>
      </c>
      <c r="AE58" s="779" t="s">
        <v>5</v>
      </c>
      <c r="AF58" s="779" t="s">
        <v>7</v>
      </c>
      <c r="AG58" s="108"/>
      <c r="AK58" s="10"/>
      <c r="AL58" s="10"/>
      <c r="AM58" s="10"/>
      <c r="AN58" s="200">
        <f t="shared" si="24"/>
        <v>0</v>
      </c>
      <c r="AO58" s="196">
        <f t="shared" si="25"/>
        <v>0</v>
      </c>
      <c r="AP58" s="33" t="str">
        <f t="shared" si="26"/>
        <v/>
      </c>
      <c r="AQ58" s="99">
        <f t="shared" si="27"/>
        <v>0</v>
      </c>
      <c r="AR58" s="218"/>
      <c r="AS58" s="217"/>
      <c r="AT58" s="219"/>
      <c r="AU58" s="48"/>
      <c r="AV58" s="5"/>
      <c r="AW58" s="5"/>
      <c r="AX58" s="5"/>
      <c r="BA58" s="18"/>
      <c r="BB58" s="3"/>
      <c r="BQ58" s="5"/>
      <c r="BR58" s="5"/>
    </row>
    <row r="59" spans="1:72" ht="15" customHeight="1">
      <c r="A59" s="54">
        <f t="shared" si="29"/>
        <v>1</v>
      </c>
      <c r="B59" s="73">
        <f t="shared" si="6"/>
        <v>50</v>
      </c>
      <c r="C59" s="182">
        <v>68.75</v>
      </c>
      <c r="D59" s="191">
        <v>46248</v>
      </c>
      <c r="E59" s="185" t="s">
        <v>186</v>
      </c>
      <c r="G59" s="58" t="str">
        <f t="shared" si="16"/>
        <v/>
      </c>
      <c r="I59" s="153" t="s">
        <v>2</v>
      </c>
      <c r="J59" s="207">
        <f t="shared" si="17"/>
        <v>46316.75</v>
      </c>
      <c r="K59" s="207">
        <f t="shared" si="20"/>
        <v>46316.75</v>
      </c>
      <c r="L59" s="153" t="s">
        <v>13</v>
      </c>
      <c r="M59" s="254">
        <f>IF(L59=$Y$103,MAX($M$10:M58)+1,0)</f>
        <v>0</v>
      </c>
      <c r="N59" s="261">
        <f>IF(L59=$Y$119,MAX($N$10:N58)+1,0)</f>
        <v>0</v>
      </c>
      <c r="O59" s="224" t="s">
        <v>94</v>
      </c>
      <c r="P59" s="130" t="s">
        <v>90</v>
      </c>
      <c r="Q59" s="135" t="str">
        <f t="shared" si="18"/>
        <v>P</v>
      </c>
      <c r="R59" s="132">
        <v>1</v>
      </c>
      <c r="S59" s="134" t="s">
        <v>22</v>
      </c>
      <c r="T59" s="133">
        <v>2</v>
      </c>
      <c r="V59" s="58">
        <f t="shared" si="10"/>
        <v>68.75</v>
      </c>
      <c r="X59" s="30"/>
      <c r="Y59" s="564"/>
      <c r="Z59" s="88"/>
      <c r="AA59" s="543"/>
      <c r="AB59" s="128"/>
      <c r="AC59" s="778"/>
      <c r="AD59" s="780"/>
      <c r="AE59" s="780"/>
      <c r="AF59" s="780"/>
      <c r="AG59" s="108"/>
      <c r="AK59" s="10"/>
      <c r="AL59" s="10"/>
      <c r="AM59" s="10"/>
      <c r="AN59" s="200">
        <f t="shared" si="24"/>
        <v>0</v>
      </c>
      <c r="AO59" s="196">
        <f t="shared" si="25"/>
        <v>0</v>
      </c>
      <c r="AP59" s="33" t="str">
        <f t="shared" si="26"/>
        <v/>
      </c>
      <c r="AQ59" s="99">
        <f t="shared" si="27"/>
        <v>0</v>
      </c>
      <c r="AR59" s="218"/>
      <c r="AS59" s="217"/>
      <c r="AT59" s="219"/>
      <c r="AU59" s="48"/>
      <c r="AV59" s="5"/>
      <c r="AW59" s="5"/>
      <c r="AX59" s="5"/>
      <c r="BA59" s="18"/>
      <c r="BB59" s="3"/>
      <c r="BQ59" s="5"/>
      <c r="BR59" s="5"/>
    </row>
    <row r="60" spans="1:72" ht="15" customHeight="1">
      <c r="A60" s="54">
        <f t="shared" si="29"/>
        <v>1</v>
      </c>
      <c r="B60" s="73">
        <f t="shared" si="6"/>
        <v>51</v>
      </c>
      <c r="C60" s="182">
        <v>40</v>
      </c>
      <c r="D60" s="191">
        <v>46249</v>
      </c>
      <c r="E60" s="185" t="s">
        <v>52</v>
      </c>
      <c r="G60" s="58" t="str">
        <f t="shared" si="16"/>
        <v/>
      </c>
      <c r="I60" s="153" t="s">
        <v>2</v>
      </c>
      <c r="J60" s="207">
        <f>C60+D60</f>
        <v>46289</v>
      </c>
      <c r="K60" s="207">
        <f t="shared" si="20"/>
        <v>46289</v>
      </c>
      <c r="L60" s="153" t="s">
        <v>145</v>
      </c>
      <c r="M60" s="254">
        <f>IF(L60=$Y$103,MAX($M$10:M59)+1,0)</f>
        <v>0</v>
      </c>
      <c r="N60" s="261">
        <f>IF(L60=$Y$119,MAX($N$10:N59)+1,0)</f>
        <v>0</v>
      </c>
      <c r="O60" s="224" t="s">
        <v>94</v>
      </c>
      <c r="P60" s="130" t="s">
        <v>90</v>
      </c>
      <c r="Q60" s="135" t="str">
        <f t="shared" si="18"/>
        <v>P</v>
      </c>
      <c r="R60" s="132"/>
      <c r="S60" s="134"/>
      <c r="T60" s="133"/>
      <c r="V60" s="58">
        <f t="shared" si="10"/>
        <v>40</v>
      </c>
      <c r="X60" s="30"/>
      <c r="Y60" s="92">
        <f>SUM(AC60:AF60)</f>
        <v>699.06</v>
      </c>
      <c r="Z60" s="88"/>
      <c r="AA60" s="93" t="s">
        <v>86</v>
      </c>
      <c r="AB60" s="88"/>
      <c r="AC60" s="158"/>
      <c r="AD60" s="236">
        <f>SUM(SUMIFS($G$10:$G$200,$L$10:$L$200,"Claro",$O$10:$O$200,"J"),SUMIFS($V$10:$V$200,$L$10:$L$200,"Claro",$O$10:$O$200,"J"))</f>
        <v>0</v>
      </c>
      <c r="AE60" s="275">
        <f>SUM(SUMIFS($G$10:$G$200,$L$10:$L$200,"Claro",$O$10:$O$200,"F"),SUMIFS($V$10:$V$200,$L$10:$L$200,"Claro",$O$10:$O$200,"F"))</f>
        <v>0</v>
      </c>
      <c r="AF60" s="275">
        <f>SUM(SUMIFS($G$10:$G$200,$L$10:$L$200,"Claro",$O$10:$O$200,"G"),SUMIFS($V$10:$V$200,$L$10:$L$200,"Claro",$O$10:$O$200,"G"))</f>
        <v>699.06</v>
      </c>
      <c r="AG60" s="108"/>
      <c r="AK60" s="10"/>
      <c r="AL60" s="10"/>
      <c r="AM60" s="10"/>
      <c r="AN60" s="200">
        <f t="shared" si="24"/>
        <v>0</v>
      </c>
      <c r="AO60" s="196">
        <f t="shared" si="25"/>
        <v>0</v>
      </c>
      <c r="AP60" s="33" t="str">
        <f t="shared" si="26"/>
        <v/>
      </c>
      <c r="AQ60" s="99">
        <f t="shared" si="27"/>
        <v>0</v>
      </c>
      <c r="AR60" s="218"/>
      <c r="AS60" s="217"/>
      <c r="AT60" s="219"/>
      <c r="AU60" s="48"/>
      <c r="AV60" s="5"/>
      <c r="AW60" s="5"/>
      <c r="AX60" s="5"/>
      <c r="BA60" s="18"/>
      <c r="BB60" s="3"/>
      <c r="BQ60" s="5"/>
      <c r="BR60" s="5"/>
    </row>
    <row r="61" spans="1:72" ht="15" customHeight="1">
      <c r="A61" s="54">
        <f t="shared" si="29"/>
        <v>1</v>
      </c>
      <c r="B61" s="73">
        <f t="shared" si="6"/>
        <v>52</v>
      </c>
      <c r="C61" s="182">
        <v>50</v>
      </c>
      <c r="D61" s="191">
        <v>46249</v>
      </c>
      <c r="E61" s="185" t="s">
        <v>189</v>
      </c>
      <c r="G61" s="58" t="str">
        <f t="shared" si="16"/>
        <v/>
      </c>
      <c r="I61" s="153" t="s">
        <v>2</v>
      </c>
      <c r="J61" s="207">
        <f>C61+D61</f>
        <v>46299</v>
      </c>
      <c r="K61" s="207">
        <f t="shared" si="20"/>
        <v>46299</v>
      </c>
      <c r="L61" s="153" t="s">
        <v>13</v>
      </c>
      <c r="M61" s="254">
        <f>IF(L61=$Y$103,MAX($M$10:M60)+1,0)</f>
        <v>0</v>
      </c>
      <c r="N61" s="261">
        <f>IF(L61=$Y$119,MAX($N$10:N60)+1,0)</f>
        <v>0</v>
      </c>
      <c r="O61" s="224" t="s">
        <v>94</v>
      </c>
      <c r="P61" s="130" t="s">
        <v>90</v>
      </c>
      <c r="Q61" s="135" t="str">
        <f t="shared" si="18"/>
        <v>P</v>
      </c>
      <c r="R61" s="132"/>
      <c r="S61" s="134"/>
      <c r="T61" s="133"/>
      <c r="V61" s="58">
        <f t="shared" si="10"/>
        <v>50</v>
      </c>
      <c r="X61" s="30"/>
      <c r="Y61" s="94">
        <f t="shared" ref="Y61:Y79" si="30">SUM(AC61:AF61)</f>
        <v>40.76</v>
      </c>
      <c r="Z61" s="88"/>
      <c r="AA61" s="95" t="s">
        <v>23</v>
      </c>
      <c r="AB61" s="88"/>
      <c r="AC61" s="159"/>
      <c r="AD61" s="49">
        <f>SUM(SUMIFS($G$10:$G$200,$L$10:$L$200,"Gás",$O$10:$O$200,"J"),SUMIFS($V$10:$V$200,$L$10:$L$200,"Gás",$O$10:$O$200,"J"))</f>
        <v>0</v>
      </c>
      <c r="AE61" s="49">
        <f>SUM(SUMIFS($G$10:$G$200,$L$10:$L$200,"Gás",$O$10:$O$200,"F"),SUMIFS($V$10:$V$200,$L$10:$L$200,"Gás",$O$10:$O$200,"F"))</f>
        <v>0</v>
      </c>
      <c r="AF61" s="49">
        <f>SUM(SUMIFS($G$10:$G$200,$L$10:$L$200,"Gás",$O$10:$O$200,"G"),SUMIFS($V$10:$V$200,$L$10:$L$200,"Gás",$O$10:$O$200,"G"))</f>
        <v>40.76</v>
      </c>
      <c r="AG61" s="110"/>
      <c r="AJ61" s="18"/>
      <c r="AN61" s="200">
        <f t="shared" si="24"/>
        <v>46315.99</v>
      </c>
      <c r="AO61" s="196">
        <f t="shared" si="25"/>
        <v>46315.99</v>
      </c>
      <c r="AP61" s="33" t="str">
        <f t="shared" si="26"/>
        <v>P</v>
      </c>
      <c r="AQ61" s="99" t="str">
        <f t="shared" si="27"/>
        <v>Ref/Lanche</v>
      </c>
      <c r="AR61" s="218">
        <v>46272</v>
      </c>
      <c r="AS61" s="289" t="s">
        <v>85</v>
      </c>
      <c r="AT61" s="219">
        <v>43.99</v>
      </c>
      <c r="AU61" s="48"/>
      <c r="AV61" s="5"/>
      <c r="AW61" s="5"/>
      <c r="AX61" s="5"/>
      <c r="BA61" s="18"/>
      <c r="BB61" s="3"/>
      <c r="BQ61" s="5"/>
      <c r="BR61" s="5"/>
    </row>
    <row r="62" spans="1:72" ht="15" customHeight="1">
      <c r="A62" s="54">
        <f t="shared" si="29"/>
        <v>1</v>
      </c>
      <c r="B62" s="73">
        <f t="shared" si="6"/>
        <v>53</v>
      </c>
      <c r="C62" s="182">
        <v>19.399999999999999</v>
      </c>
      <c r="D62" s="191">
        <v>46249</v>
      </c>
      <c r="E62" s="185" t="s">
        <v>190</v>
      </c>
      <c r="G62" s="58" t="str">
        <f t="shared" si="16"/>
        <v/>
      </c>
      <c r="I62" s="153" t="s">
        <v>2</v>
      </c>
      <c r="J62" s="207">
        <f t="shared" si="17"/>
        <v>46268.4</v>
      </c>
      <c r="K62" s="207">
        <f t="shared" si="20"/>
        <v>46268.4</v>
      </c>
      <c r="L62" s="153" t="s">
        <v>137</v>
      </c>
      <c r="M62" s="254">
        <f>IF(L62=$Y$103,MAX($M$10:M61)+1,0)</f>
        <v>0</v>
      </c>
      <c r="N62" s="261">
        <f>IF(L62=$Y$119,MAX($N$10:N61)+1,0)</f>
        <v>0</v>
      </c>
      <c r="O62" s="224" t="s">
        <v>98</v>
      </c>
      <c r="P62" s="130" t="s">
        <v>90</v>
      </c>
      <c r="Q62" s="135" t="str">
        <f t="shared" si="18"/>
        <v>P</v>
      </c>
      <c r="R62" s="132"/>
      <c r="S62" s="134"/>
      <c r="T62" s="133"/>
      <c r="V62" s="58">
        <f t="shared" si="10"/>
        <v>19.399999999999999</v>
      </c>
      <c r="X62" s="30"/>
      <c r="Y62" s="94">
        <f t="shared" si="30"/>
        <v>321.25</v>
      </c>
      <c r="Z62" s="88"/>
      <c r="AA62" s="95" t="s">
        <v>12</v>
      </c>
      <c r="AB62" s="88"/>
      <c r="AC62" s="159"/>
      <c r="AD62" s="49">
        <f>SUM(SUMIFS($G$10:$G$200,$L$10:$L$200,"Luz",$O$10:$O$200,"J"),SUMIFS($V$10:$V$200,$L$10:$L$200,"Luz",$O$10:$O$200,"J"))</f>
        <v>0</v>
      </c>
      <c r="AE62" s="49">
        <f>SUM(SUMIFS($G$10:$G$200,$L$10:$L$200,"Luz",$O$10:$O$200,"F"),SUMIFS($V$10:$V$200,$L$10:$L$200,"Luz",$O$10:$O$200,"F"))</f>
        <v>0</v>
      </c>
      <c r="AF62" s="49">
        <f>SUM(SUMIFS($G$10:$G$200,$L$10:$L$200,"Luz",$O$10:$O$200,"G"),SUMIFS($V$10:$V$200,$L$10:$L$200,"Luz",$O$10:$O$200,"G"))</f>
        <v>321.25</v>
      </c>
      <c r="AG62" s="110"/>
      <c r="AJ62" s="18"/>
      <c r="AN62" s="200">
        <f t="shared" ref="AN62:AN107" si="31">IFERROR(VLOOKUP(AO62,$J$10:$J$199,1,0),"")</f>
        <v>46297.9</v>
      </c>
      <c r="AO62" s="196">
        <f t="shared" ref="AO62:AO83" si="32">AR62+AT62</f>
        <v>46297.9</v>
      </c>
      <c r="AP62" s="33" t="str">
        <f t="shared" ref="AP62:AP84" si="33">IF(AND(AN62=0,AO62=0),"",IF(AN62=AO62,"P",IF(AN62&lt;&gt;AO62,"O")))</f>
        <v>P</v>
      </c>
      <c r="AQ62" s="99" t="str">
        <f t="shared" ref="AQ62:AQ107" si="34">IFERROR(VLOOKUP(AO62,$J$10:$L$199,3,0),"")</f>
        <v>TV</v>
      </c>
      <c r="AR62" s="218">
        <v>46271</v>
      </c>
      <c r="AS62" s="289" t="s">
        <v>78</v>
      </c>
      <c r="AT62" s="219">
        <v>26.9</v>
      </c>
      <c r="AU62" s="48"/>
      <c r="AV62" s="5"/>
      <c r="AW62" s="5"/>
      <c r="AX62" s="5"/>
      <c r="BA62" s="18"/>
      <c r="BB62" s="3"/>
      <c r="BQ62" s="5"/>
      <c r="BR62" s="5"/>
    </row>
    <row r="63" spans="1:72" ht="15" customHeight="1">
      <c r="A63" s="54">
        <f t="shared" si="29"/>
        <v>1</v>
      </c>
      <c r="B63" s="73">
        <f t="shared" si="6"/>
        <v>54</v>
      </c>
      <c r="C63" s="182">
        <v>16.399999999999999</v>
      </c>
      <c r="D63" s="191">
        <v>46251</v>
      </c>
      <c r="E63" s="185" t="s">
        <v>190</v>
      </c>
      <c r="G63" s="58" t="str">
        <f t="shared" si="16"/>
        <v/>
      </c>
      <c r="I63" s="153" t="s">
        <v>2</v>
      </c>
      <c r="J63" s="207">
        <f>C63+D63</f>
        <v>46267.4</v>
      </c>
      <c r="K63" s="207">
        <f t="shared" si="20"/>
        <v>46267.4</v>
      </c>
      <c r="L63" s="153" t="s">
        <v>137</v>
      </c>
      <c r="M63" s="254">
        <f>IF(L63=$Y$103,MAX($M$10:M62)+1,0)</f>
        <v>0</v>
      </c>
      <c r="N63" s="261">
        <f>IF(L63=$Y$119,MAX($N$10:N62)+1,0)</f>
        <v>0</v>
      </c>
      <c r="O63" s="224" t="s">
        <v>98</v>
      </c>
      <c r="P63" s="130" t="s">
        <v>90</v>
      </c>
      <c r="Q63" s="135" t="str">
        <f t="shared" si="18"/>
        <v>P</v>
      </c>
      <c r="R63" s="132"/>
      <c r="S63" s="134"/>
      <c r="T63" s="133"/>
      <c r="V63" s="58">
        <f t="shared" si="10"/>
        <v>16.399999999999999</v>
      </c>
      <c r="X63" s="30"/>
      <c r="Y63" s="94">
        <f t="shared" si="30"/>
        <v>936.24</v>
      </c>
      <c r="Z63" s="88"/>
      <c r="AA63" s="95" t="s">
        <v>19</v>
      </c>
      <c r="AB63" s="88"/>
      <c r="AC63" s="159"/>
      <c r="AD63" s="49">
        <f>SUM(SUMIFS($G$10:$G$200,$L$10:$L$200,"Condomínio",$O$10:$O$200,"J"),SUMIFS($V$10:$V$200,$L$10:$L$200,"Condomínio",$O$10:$O$200,"J"))</f>
        <v>0</v>
      </c>
      <c r="AE63" s="49">
        <f>SUM(SUMIFS($G$10:$G$200,$L$10:$L$200,"Condomínio",$O$10:$O$200,"F"),SUMIFS($V$10:$V$200,$L$10:$L$200,"Condomínio",$O$10:$O$200,"F"))</f>
        <v>0</v>
      </c>
      <c r="AF63" s="49">
        <f>SUM(SUMIFS($G$10:$G$200,$L$10:$L$200,"Condomínio",$O$10:$O$200,"G"),SUMIFS($V$10:$V$200,$L$10:$L$200,"Condomínio",$O$10:$O$200,"G"))</f>
        <v>936.24</v>
      </c>
      <c r="AG63" s="108"/>
      <c r="AJ63" s="18"/>
      <c r="AK63" s="10"/>
      <c r="AL63" s="10"/>
      <c r="AM63" s="10"/>
      <c r="AN63" s="200">
        <f t="shared" si="31"/>
        <v>46351.35</v>
      </c>
      <c r="AO63" s="196">
        <f t="shared" si="32"/>
        <v>46351.35</v>
      </c>
      <c r="AP63" s="33" t="str">
        <f t="shared" si="33"/>
        <v>P</v>
      </c>
      <c r="AQ63" s="99" t="str">
        <f t="shared" si="34"/>
        <v>Guto</v>
      </c>
      <c r="AR63" s="218">
        <v>46267</v>
      </c>
      <c r="AS63" s="289" t="s">
        <v>231</v>
      </c>
      <c r="AT63" s="219">
        <v>84.35</v>
      </c>
      <c r="AU63" s="48"/>
      <c r="AV63" s="5"/>
      <c r="AW63" s="5"/>
      <c r="AX63" s="5"/>
      <c r="BA63" s="18"/>
      <c r="BB63" s="3"/>
      <c r="BQ63" s="5"/>
      <c r="BR63" s="5"/>
    </row>
    <row r="64" spans="1:72" s="18" customFormat="1" ht="15" customHeight="1">
      <c r="A64" s="54">
        <f t="shared" si="29"/>
        <v>1</v>
      </c>
      <c r="B64" s="73">
        <f t="shared" si="6"/>
        <v>55</v>
      </c>
      <c r="C64" s="182">
        <v>75.58</v>
      </c>
      <c r="D64" s="191">
        <v>46251</v>
      </c>
      <c r="E64" s="185" t="s">
        <v>191</v>
      </c>
      <c r="F64" s="5"/>
      <c r="G64" s="58" t="str">
        <f t="shared" si="16"/>
        <v/>
      </c>
      <c r="H64" s="6"/>
      <c r="I64" s="153" t="s">
        <v>2</v>
      </c>
      <c r="J64" s="207">
        <f t="shared" si="17"/>
        <v>46326.58</v>
      </c>
      <c r="K64" s="207">
        <f t="shared" si="20"/>
        <v>46326.58</v>
      </c>
      <c r="L64" s="153" t="s">
        <v>7</v>
      </c>
      <c r="M64" s="254">
        <f>IF(L64=$Y$103,MAX($M$10:M63)+1,0)</f>
        <v>0</v>
      </c>
      <c r="N64" s="261">
        <f>IF(L64=$Y$119,MAX($N$10:N63)+1,0)</f>
        <v>0</v>
      </c>
      <c r="O64" s="224" t="s">
        <v>94</v>
      </c>
      <c r="P64" s="130" t="s">
        <v>90</v>
      </c>
      <c r="Q64" s="135" t="str">
        <f t="shared" si="18"/>
        <v>P</v>
      </c>
      <c r="R64" s="132">
        <v>1</v>
      </c>
      <c r="S64" s="134" t="s">
        <v>22</v>
      </c>
      <c r="T64" s="133">
        <v>3</v>
      </c>
      <c r="U64" s="6"/>
      <c r="V64" s="58">
        <f t="shared" si="10"/>
        <v>75.58</v>
      </c>
      <c r="W64" s="10"/>
      <c r="X64" s="30"/>
      <c r="Y64" s="94">
        <f t="shared" si="30"/>
        <v>1491.31</v>
      </c>
      <c r="Z64" s="88"/>
      <c r="AA64" s="97" t="s">
        <v>15</v>
      </c>
      <c r="AB64" s="88"/>
      <c r="AC64" s="160"/>
      <c r="AD64" s="49">
        <f>SUM(SUMIFS($G$10:$G$200,$L$10:$L$200,"Faculdade",$O$10:$O$200,"J"),SUMIFS($V$10:$V$200,$L$10:$L$200,"Faculdade",$O$10:$O$200,"J"))</f>
        <v>0</v>
      </c>
      <c r="AE64" s="49">
        <f>SUM(SUMIFS($G$10:$G$200,$L$10:$L$200,"Faculdade",$O$10:$O$200,"F"),SUMIFS($V$10:$V$200,$L$10:$L$200,"Faculdade",$O$10:$O$200,"F"))</f>
        <v>0</v>
      </c>
      <c r="AF64" s="49">
        <f>SUM(SUMIFS($G$10:$G$200,$L$10:$L$200,"Faculdade",$O$10:$O$200,"G"),SUMIFS($V$10:$V$200,$L$10:$L$200,"Faculdade",$O$10:$O$200,"G"))</f>
        <v>1491.31</v>
      </c>
      <c r="AG64" s="78"/>
      <c r="AH64" s="10"/>
      <c r="AK64" s="10"/>
      <c r="AL64" s="10"/>
      <c r="AM64" s="10"/>
      <c r="AN64" s="200">
        <f t="shared" si="31"/>
        <v>46317</v>
      </c>
      <c r="AO64" s="196">
        <f t="shared" si="32"/>
        <v>46317</v>
      </c>
      <c r="AP64" s="33" t="str">
        <f t="shared" si="33"/>
        <v>P</v>
      </c>
      <c r="AQ64" s="99" t="str">
        <f t="shared" si="34"/>
        <v>Guto</v>
      </c>
      <c r="AR64" s="218">
        <v>46267</v>
      </c>
      <c r="AS64" s="289" t="s">
        <v>79</v>
      </c>
      <c r="AT64" s="219">
        <v>50</v>
      </c>
      <c r="AU64" s="48"/>
      <c r="AV64" s="5"/>
      <c r="AW64" s="5"/>
      <c r="AX64" s="5"/>
      <c r="AY64" s="5"/>
      <c r="AZ64" s="5"/>
      <c r="BB64" s="3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T64" s="3"/>
    </row>
    <row r="65" spans="1:72" s="18" customFormat="1" ht="15" customHeight="1">
      <c r="A65" s="54">
        <f t="shared" si="29"/>
        <v>1</v>
      </c>
      <c r="B65" s="73">
        <f t="shared" si="6"/>
        <v>56</v>
      </c>
      <c r="C65" s="182">
        <v>116.27</v>
      </c>
      <c r="D65" s="191">
        <v>46251</v>
      </c>
      <c r="E65" s="185" t="s">
        <v>211</v>
      </c>
      <c r="F65" s="5"/>
      <c r="G65" s="58" t="str">
        <f>IF(OR(C65="",I65="Pago"),"",C65)</f>
        <v/>
      </c>
      <c r="H65" s="6"/>
      <c r="I65" s="130" t="s">
        <v>2</v>
      </c>
      <c r="J65" s="207">
        <f>C65+D65</f>
        <v>46367.27</v>
      </c>
      <c r="K65" s="207">
        <f t="shared" si="20"/>
        <v>46367.27</v>
      </c>
      <c r="L65" s="153" t="s">
        <v>7</v>
      </c>
      <c r="M65" s="254">
        <f>IF(L65=$Y$103,MAX($M$10:M64)+1,0)</f>
        <v>0</v>
      </c>
      <c r="N65" s="261">
        <f>IF(L65=$Y$119,MAX($N$10:N64)+1,0)</f>
        <v>0</v>
      </c>
      <c r="O65" s="224" t="s">
        <v>94</v>
      </c>
      <c r="P65" s="130" t="s">
        <v>8</v>
      </c>
      <c r="Q65" s="135" t="str">
        <f t="shared" si="18"/>
        <v>P</v>
      </c>
      <c r="R65" s="132"/>
      <c r="S65" s="134"/>
      <c r="T65" s="133"/>
      <c r="U65" s="6"/>
      <c r="V65" s="58">
        <f t="shared" si="10"/>
        <v>116.27</v>
      </c>
      <c r="W65" s="10"/>
      <c r="X65" s="30"/>
      <c r="Y65" s="92">
        <f t="shared" si="30"/>
        <v>1800</v>
      </c>
      <c r="Z65" s="88"/>
      <c r="AA65" s="93" t="s">
        <v>106</v>
      </c>
      <c r="AB65" s="88"/>
      <c r="AC65" s="161"/>
      <c r="AD65" s="275">
        <f>SUM(SUMIFS($G$10:$G$200,$L$10:$L$200,"Depositar",$O$10:$O$200,"J"),SUMIFS($V$10:$V$200,$L$10:$L$200,"Depositar",$O$10:$O$200,"J"))</f>
        <v>0</v>
      </c>
      <c r="AE65" s="275">
        <f>SUM(SUMIFS($G$10:$G$200,$L$10:$L$200,"Depositar",$O$10:$O$200,"F"),SUMIFS($V$10:$V$200,$L$10:$L$200,"Depositar",$O$10:$O$200,"F"))</f>
        <v>0</v>
      </c>
      <c r="AF65" s="275">
        <f>SUM(SUMIFS($G$10:$G$200,$L$10:$L$200,"Depositar",$O$10:$O$200,"G"),SUMIFS($V$10:$V$200,$L$10:$L$200,"Depositar",$O$10:$O$200,"G"))</f>
        <v>1800</v>
      </c>
      <c r="AG65" s="78"/>
      <c r="AH65" s="10"/>
      <c r="AK65" s="10"/>
      <c r="AL65" s="10"/>
      <c r="AM65" s="10"/>
      <c r="AN65" s="200">
        <f t="shared" si="31"/>
        <v>46299.35</v>
      </c>
      <c r="AO65" s="196">
        <f t="shared" si="32"/>
        <v>46299.35</v>
      </c>
      <c r="AP65" s="33" t="str">
        <f t="shared" si="33"/>
        <v>P</v>
      </c>
      <c r="AQ65" s="99" t="str">
        <f t="shared" si="34"/>
        <v>Ref/Lanche</v>
      </c>
      <c r="AR65" s="218">
        <v>46259</v>
      </c>
      <c r="AS65" s="289" t="s">
        <v>227</v>
      </c>
      <c r="AT65" s="219">
        <v>40.35</v>
      </c>
      <c r="AU65" s="48"/>
      <c r="AV65" s="5"/>
      <c r="AW65" s="5"/>
      <c r="AX65" s="5"/>
      <c r="AY65" s="5"/>
      <c r="AZ65" s="5"/>
      <c r="BB65" s="3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T65" s="3"/>
    </row>
    <row r="66" spans="1:72" s="18" customFormat="1" ht="15" customHeight="1">
      <c r="A66" s="54">
        <f t="shared" si="29"/>
        <v>1</v>
      </c>
      <c r="B66" s="73">
        <f t="shared" si="6"/>
        <v>57</v>
      </c>
      <c r="C66" s="182">
        <v>79.989999999999995</v>
      </c>
      <c r="D66" s="191">
        <v>46251</v>
      </c>
      <c r="E66" s="185" t="s">
        <v>83</v>
      </c>
      <c r="F66" s="5"/>
      <c r="G66" s="58" t="str">
        <f t="shared" si="16"/>
        <v/>
      </c>
      <c r="H66" s="6"/>
      <c r="I66" s="153" t="s">
        <v>2</v>
      </c>
      <c r="J66" s="207">
        <f>C66+D66</f>
        <v>46330.99</v>
      </c>
      <c r="K66" s="207">
        <f t="shared" si="20"/>
        <v>46330.99</v>
      </c>
      <c r="L66" s="153" t="s">
        <v>145</v>
      </c>
      <c r="M66" s="254">
        <f>IF(L66=$Y$103,MAX($M$10:M65)+1,0)</f>
        <v>0</v>
      </c>
      <c r="N66" s="261">
        <f>IF(L66=$Y$119,MAX($N$10:N65)+1,0)</f>
        <v>0</v>
      </c>
      <c r="O66" s="224" t="s">
        <v>94</v>
      </c>
      <c r="P66" s="130" t="s">
        <v>90</v>
      </c>
      <c r="Q66" s="135" t="str">
        <f t="shared" si="18"/>
        <v>P</v>
      </c>
      <c r="R66" s="132"/>
      <c r="S66" s="134"/>
      <c r="T66" s="133"/>
      <c r="U66" s="6"/>
      <c r="V66" s="58">
        <f t="shared" si="10"/>
        <v>79.989999999999995</v>
      </c>
      <c r="W66" s="10"/>
      <c r="X66" s="30"/>
      <c r="Y66" s="98">
        <f t="shared" si="30"/>
        <v>1322.0700000000002</v>
      </c>
      <c r="Z66" s="88"/>
      <c r="AA66" s="97" t="s">
        <v>29</v>
      </c>
      <c r="AB66" s="88"/>
      <c r="AC66" s="157"/>
      <c r="AD66" s="34">
        <f>SUM(SUMIFS($G$10:$G$200,$L$10:$L$200,"Prudential",$O$10:$O$200,"J"),SUMIFS($V$10:$V$200,$L$10:$L$200,"Prudential",$O$10:$O$200,"J"))</f>
        <v>0</v>
      </c>
      <c r="AE66" s="34">
        <f>SUM(SUMIFS($G$10:$G$200,$L$10:$L$200,"Prudential",$O$10:$O$200,"F"),SUMIFS($V$10:$V$200,$L$10:$L$200,"Prudential",$O$10:$O$200,"F"))</f>
        <v>0</v>
      </c>
      <c r="AF66" s="34">
        <f>SUM(SUMIFS($G$10:$G$200,$L$10:$L$200,"Prudential",$O$10:$O$200,"G"),SUMIFS($V$10:$V$200,$L$10:$L$200,"Prudential",$O$10:$O$200,"G"))</f>
        <v>1322.0700000000002</v>
      </c>
      <c r="AG66" s="78"/>
      <c r="AH66" s="10"/>
      <c r="AI66" s="18">
        <f>AI69</f>
        <v>0</v>
      </c>
      <c r="AK66" s="10"/>
      <c r="AL66" s="10"/>
      <c r="AM66" s="10"/>
      <c r="AN66" s="200">
        <f t="shared" si="31"/>
        <v>46508.9</v>
      </c>
      <c r="AO66" s="196">
        <f t="shared" si="32"/>
        <v>46508.9</v>
      </c>
      <c r="AP66" s="33" t="str">
        <f t="shared" si="33"/>
        <v>P</v>
      </c>
      <c r="AQ66" s="99" t="str">
        <f t="shared" si="34"/>
        <v>João</v>
      </c>
      <c r="AR66" s="218">
        <v>46259</v>
      </c>
      <c r="AS66" s="289" t="s">
        <v>222</v>
      </c>
      <c r="AT66" s="219">
        <v>249.9</v>
      </c>
      <c r="AU66" s="48"/>
      <c r="AV66" s="5"/>
      <c r="AW66" s="5"/>
      <c r="AX66" s="5"/>
      <c r="AY66" s="5"/>
      <c r="AZ66" s="5"/>
      <c r="BB66" s="3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T66" s="3"/>
    </row>
    <row r="67" spans="1:72" s="18" customFormat="1" ht="15" customHeight="1">
      <c r="A67" s="54">
        <f t="shared" si="29"/>
        <v>1</v>
      </c>
      <c r="B67" s="73">
        <f t="shared" si="6"/>
        <v>58</v>
      </c>
      <c r="C67" s="182">
        <v>76.09</v>
      </c>
      <c r="D67" s="191">
        <v>46252</v>
      </c>
      <c r="E67" s="185" t="s">
        <v>50</v>
      </c>
      <c r="F67" s="5"/>
      <c r="G67" s="58" t="str">
        <f t="shared" si="16"/>
        <v/>
      </c>
      <c r="H67" s="6"/>
      <c r="I67" s="153" t="s">
        <v>2</v>
      </c>
      <c r="J67" s="207">
        <f>C67+D67</f>
        <v>46328.09</v>
      </c>
      <c r="K67" s="207">
        <f t="shared" si="20"/>
        <v>46328.09</v>
      </c>
      <c r="L67" s="153" t="s">
        <v>145</v>
      </c>
      <c r="M67" s="254">
        <f>IF(L67=$Y$103,MAX($M$10:M66)+1,0)</f>
        <v>0</v>
      </c>
      <c r="N67" s="261">
        <f>IF(L67=$Y$119,MAX($N$10:N66)+1,0)</f>
        <v>0</v>
      </c>
      <c r="O67" s="224" t="s">
        <v>94</v>
      </c>
      <c r="P67" s="130" t="s">
        <v>90</v>
      </c>
      <c r="Q67" s="135" t="str">
        <f t="shared" si="18"/>
        <v>P</v>
      </c>
      <c r="R67" s="132"/>
      <c r="S67" s="134"/>
      <c r="T67" s="133"/>
      <c r="U67" s="6"/>
      <c r="V67" s="58">
        <f t="shared" si="10"/>
        <v>76.09</v>
      </c>
      <c r="W67" s="10"/>
      <c r="X67" s="30"/>
      <c r="Y67" s="94">
        <f t="shared" si="30"/>
        <v>219.83</v>
      </c>
      <c r="Z67" s="88"/>
      <c r="AA67" s="95" t="s">
        <v>16</v>
      </c>
      <c r="AB67" s="88"/>
      <c r="AC67" s="162"/>
      <c r="AD67" s="49">
        <f>SUM(SUMIFS($G$10:$G$200,$L$10:$L$200,"TV",$O$10:$O$200,"J"),SUMIFS($V$10:$V$200,$L$10:$L$200,"TV",$O$10:$O$200,"J"))</f>
        <v>24.9</v>
      </c>
      <c r="AE67" s="49">
        <f>SUM(SUMIFS($G$10:$G$200,$L$10:$L$200,"TV",$O$10:$O$200,"F"),SUMIFS($V$10:$V$200,$L$10:$L$200,"TV",$O$10:$O$200,"F"))</f>
        <v>0</v>
      </c>
      <c r="AF67" s="49">
        <f>SUM(SUMIFS($G$10:$G$200,$L$10:$L$200,"TV",$O$10:$O$200,"G"),SUMIFS($V$10:$V$200,$L$10:$L$200,"TV",$O$10:$O$200,"G"))</f>
        <v>194.93</v>
      </c>
      <c r="AG67" s="78"/>
      <c r="AH67" s="10"/>
      <c r="AI67" s="18">
        <f>AI70</f>
        <v>0</v>
      </c>
      <c r="AK67" s="10"/>
      <c r="AL67" s="10"/>
      <c r="AM67" s="10"/>
      <c r="AN67" s="200">
        <f t="shared" si="31"/>
        <v>46295.519999999997</v>
      </c>
      <c r="AO67" s="196">
        <f t="shared" si="32"/>
        <v>46295.519999999997</v>
      </c>
      <c r="AP67" s="33" t="str">
        <f t="shared" si="33"/>
        <v>P</v>
      </c>
      <c r="AQ67" s="99" t="str">
        <f t="shared" si="34"/>
        <v>Ref/Lanche</v>
      </c>
      <c r="AR67" s="218">
        <v>46258</v>
      </c>
      <c r="AS67" s="289" t="s">
        <v>68</v>
      </c>
      <c r="AT67" s="163">
        <v>37.520000000000003</v>
      </c>
      <c r="AU67" s="48"/>
      <c r="AV67" s="5"/>
      <c r="AW67" s="5"/>
      <c r="AX67" s="5"/>
      <c r="AY67" s="5"/>
      <c r="AZ67" s="5"/>
      <c r="BB67" s="3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T67" s="3"/>
    </row>
    <row r="68" spans="1:72" s="18" customFormat="1" ht="15" customHeight="1">
      <c r="A68" s="54">
        <f t="shared" si="29"/>
        <v>1</v>
      </c>
      <c r="B68" s="73">
        <f t="shared" si="6"/>
        <v>59</v>
      </c>
      <c r="C68" s="182">
        <v>100</v>
      </c>
      <c r="D68" s="191">
        <v>46253</v>
      </c>
      <c r="E68" s="185" t="s">
        <v>25</v>
      </c>
      <c r="F68" s="5"/>
      <c r="G68" s="58" t="str">
        <f t="shared" si="16"/>
        <v/>
      </c>
      <c r="H68" s="6"/>
      <c r="I68" s="153" t="s">
        <v>2</v>
      </c>
      <c r="J68" s="207">
        <f t="shared" si="17"/>
        <v>46353</v>
      </c>
      <c r="K68" s="207">
        <f t="shared" si="20"/>
        <v>46353</v>
      </c>
      <c r="L68" s="153" t="s">
        <v>21</v>
      </c>
      <c r="M68" s="254">
        <f>IF(L68=$Y$103,MAX($M$10:M67)+1,0)</f>
        <v>0</v>
      </c>
      <c r="N68" s="261">
        <f>IF(L68=$Y$119,MAX($N$10:N67)+1,0)</f>
        <v>0</v>
      </c>
      <c r="O68" s="224" t="s">
        <v>94</v>
      </c>
      <c r="P68" s="130" t="s">
        <v>90</v>
      </c>
      <c r="Q68" s="135" t="str">
        <f t="shared" si="18"/>
        <v>P</v>
      </c>
      <c r="R68" s="132"/>
      <c r="S68" s="134"/>
      <c r="T68" s="133"/>
      <c r="U68" s="6"/>
      <c r="V68" s="58">
        <f t="shared" si="10"/>
        <v>100</v>
      </c>
      <c r="W68" s="10"/>
      <c r="X68" s="30"/>
      <c r="Y68" s="94">
        <f t="shared" si="30"/>
        <v>1000</v>
      </c>
      <c r="Z68" s="88"/>
      <c r="AA68" s="95" t="s">
        <v>27</v>
      </c>
      <c r="AB68" s="88"/>
      <c r="AC68" s="162">
        <f>IF(1000-AD68-AE68-AF68&lt;0,"R$ 0,00",1000-AD68-AE68-AF68)</f>
        <v>271.13</v>
      </c>
      <c r="AD68" s="49">
        <f>SUM(SUMIFS($G$10:$G$200,$L$10:$L$200,"Supermercado",$O$10:$O$200,"J"),SUMIFS($V$10:$V$200,$L$10:$L$200,"Supermercado",$O$10:$O$200,"J"))</f>
        <v>36.9</v>
      </c>
      <c r="AE68" s="49">
        <f>SUM(SUMIFS($G$10:$G$200,$L$10:$L$200,"Supermercado",$O$10:$O$200,"F"),SUMIFS($V$10:$V$200,$L$10:$L$200,"Supermercado",$O$10:$O$200,"F"))</f>
        <v>0</v>
      </c>
      <c r="AF68" s="49">
        <f>SUM(SUMIFS($G$10:$G$200,$L$10:$L$200,"Supermercado",$O$10:$O$200,"G"),SUMIFS($V$10:$V$200,$L$10:$L$200,"Supermercado",$O$10:$O$200,"G"))</f>
        <v>691.97</v>
      </c>
      <c r="AG68" s="78"/>
      <c r="AH68" s="10"/>
      <c r="AK68" s="10"/>
      <c r="AL68" s="10"/>
      <c r="AM68" s="10"/>
      <c r="AN68" s="200">
        <f t="shared" si="31"/>
        <v>46306.49</v>
      </c>
      <c r="AO68" s="196">
        <f t="shared" si="32"/>
        <v>46306.49</v>
      </c>
      <c r="AP68" s="33" t="str">
        <f t="shared" si="33"/>
        <v>P</v>
      </c>
      <c r="AQ68" s="99" t="str">
        <f t="shared" si="34"/>
        <v>Ref/Lanche</v>
      </c>
      <c r="AR68" s="218">
        <v>46258</v>
      </c>
      <c r="AS68" s="289" t="s">
        <v>84</v>
      </c>
      <c r="AT68" s="163">
        <v>48.49</v>
      </c>
      <c r="AU68" s="48"/>
      <c r="AV68" s="5"/>
      <c r="AW68" s="5"/>
      <c r="AX68" s="5"/>
      <c r="AY68" s="5"/>
      <c r="AZ68" s="5"/>
      <c r="BB68" s="3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T68" s="3"/>
    </row>
    <row r="69" spans="1:72" s="18" customFormat="1" ht="15" customHeight="1">
      <c r="A69" s="54">
        <f t="shared" si="29"/>
        <v>1</v>
      </c>
      <c r="B69" s="73">
        <f t="shared" si="6"/>
        <v>60</v>
      </c>
      <c r="C69" s="182">
        <v>109.19</v>
      </c>
      <c r="D69" s="191">
        <v>46254</v>
      </c>
      <c r="E69" s="185" t="s">
        <v>171</v>
      </c>
      <c r="F69" s="5"/>
      <c r="G69" s="58" t="str">
        <f t="shared" si="16"/>
        <v/>
      </c>
      <c r="H69" s="6"/>
      <c r="I69" s="153" t="s">
        <v>2</v>
      </c>
      <c r="J69" s="207">
        <f t="shared" si="17"/>
        <v>46363.19</v>
      </c>
      <c r="K69" s="207">
        <f t="shared" si="20"/>
        <v>46363.19</v>
      </c>
      <c r="L69" s="153" t="s">
        <v>145</v>
      </c>
      <c r="M69" s="254">
        <f>IF(L69=$Y$103,MAX($M$10:M68)+1,0)</f>
        <v>0</v>
      </c>
      <c r="N69" s="261">
        <f>IF(L69=$Y$119,MAX($N$10:N68)+1,0)</f>
        <v>0</v>
      </c>
      <c r="O69" s="224" t="s">
        <v>94</v>
      </c>
      <c r="P69" s="130" t="s">
        <v>90</v>
      </c>
      <c r="Q69" s="135" t="str">
        <f t="shared" si="18"/>
        <v>P</v>
      </c>
      <c r="R69" s="132"/>
      <c r="S69" s="134"/>
      <c r="T69" s="133"/>
      <c r="U69" s="6"/>
      <c r="V69" s="58">
        <f t="shared" si="10"/>
        <v>109.19</v>
      </c>
      <c r="W69" s="10"/>
      <c r="X69" s="30"/>
      <c r="Y69" s="94">
        <f t="shared" si="30"/>
        <v>200</v>
      </c>
      <c r="Z69" s="88"/>
      <c r="AA69" s="95" t="s">
        <v>44</v>
      </c>
      <c r="AB69" s="88"/>
      <c r="AC69" s="162">
        <f>IF(200-AD69-AE69-AF69&lt;0,"R$ 0,00",200-AD69-AE69-AF69)</f>
        <v>80</v>
      </c>
      <c r="AD69" s="49">
        <f>SUM(SUMIFS($G$10:$G$200,$L$10:$L$200,"Metrô",$O$10:$O$200,"J"),SUMIFS($V$10:$V$200,$L$10:$L$200,"Metrô",$O$10:$O$200,"J"))</f>
        <v>120</v>
      </c>
      <c r="AE69" s="49">
        <f>SUM(SUMIFS($G$10:$G$200,$L$10:$L$200,"Metrô",$O$10:$O$200,"F"),SUMIFS($V$10:$V$200,$L$10:$L$200,"Metrô",$O$10:$O$200,"F"))</f>
        <v>0</v>
      </c>
      <c r="AF69" s="49">
        <f>SUM(SUMIFS($G$10:$G$200,$L$10:$L$200,"Metrô",$O$10:$O$200,"G"),SUMIFS($V$10:$V$200,$L$10:$L$200,"Metrô",$O$10:$O$200,"G"))</f>
        <v>0</v>
      </c>
      <c r="AG69" s="78"/>
      <c r="AH69" s="10"/>
      <c r="AK69" s="10"/>
      <c r="AL69" s="10"/>
      <c r="AM69" s="10"/>
      <c r="AN69" s="200">
        <f t="shared" si="31"/>
        <v>46277.82</v>
      </c>
      <c r="AO69" s="196">
        <f t="shared" si="32"/>
        <v>46277.82</v>
      </c>
      <c r="AP69" s="33" t="str">
        <f t="shared" si="33"/>
        <v>P</v>
      </c>
      <c r="AQ69" s="99" t="str">
        <f t="shared" si="34"/>
        <v>Guto</v>
      </c>
      <c r="AR69" s="218">
        <v>46258</v>
      </c>
      <c r="AS69" s="289" t="s">
        <v>75</v>
      </c>
      <c r="AT69" s="163">
        <v>19.82</v>
      </c>
      <c r="AU69" s="48"/>
      <c r="AV69" s="5"/>
      <c r="AW69" s="5"/>
      <c r="AX69" s="5"/>
      <c r="AY69" s="5"/>
      <c r="AZ69" s="5"/>
      <c r="BB69" s="3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T69" s="3"/>
    </row>
    <row r="70" spans="1:72" s="18" customFormat="1" ht="15" customHeight="1">
      <c r="A70" s="54">
        <f t="shared" si="29"/>
        <v>1</v>
      </c>
      <c r="B70" s="73">
        <f t="shared" si="6"/>
        <v>61</v>
      </c>
      <c r="C70" s="182">
        <v>236.93</v>
      </c>
      <c r="D70" s="191">
        <v>46255</v>
      </c>
      <c r="E70" s="185" t="s">
        <v>18</v>
      </c>
      <c r="F70" s="5"/>
      <c r="G70" s="58" t="str">
        <f t="shared" si="16"/>
        <v/>
      </c>
      <c r="H70" s="6"/>
      <c r="I70" s="153" t="s">
        <v>2</v>
      </c>
      <c r="J70" s="207">
        <f t="shared" si="17"/>
        <v>46491.93</v>
      </c>
      <c r="K70" s="207">
        <f t="shared" si="20"/>
        <v>46491.93</v>
      </c>
      <c r="L70" s="153" t="s">
        <v>5</v>
      </c>
      <c r="M70" s="254">
        <f>IF(L70=$Y$103,MAX($M$10:M69)+1,0)</f>
        <v>0</v>
      </c>
      <c r="N70" s="261">
        <f>IF(L70=$Y$119,MAX($N$10:N69)+1,0)</f>
        <v>6</v>
      </c>
      <c r="O70" s="224" t="s">
        <v>89</v>
      </c>
      <c r="P70" s="130" t="s">
        <v>90</v>
      </c>
      <c r="Q70" s="135" t="str">
        <f t="shared" si="18"/>
        <v>P</v>
      </c>
      <c r="R70" s="132"/>
      <c r="S70" s="134"/>
      <c r="T70" s="133"/>
      <c r="U70" s="6"/>
      <c r="V70" s="58">
        <f t="shared" si="10"/>
        <v>236.93</v>
      </c>
      <c r="W70" s="10"/>
      <c r="X70" s="30"/>
      <c r="Y70" s="94">
        <f t="shared" si="30"/>
        <v>500</v>
      </c>
      <c r="Z70" s="88"/>
      <c r="AA70" s="102" t="s">
        <v>9</v>
      </c>
      <c r="AB70" s="88"/>
      <c r="AC70" s="162">
        <f>IF(500-AD70-AE70-AF70&lt;0,"R$ 0,00",500-AD70-AE70-AF70)</f>
        <v>232.5</v>
      </c>
      <c r="AD70" s="49">
        <f>SUM(SUMIFS($G$10:$G$200,$L$10:$L$200,"Feira",$O$10:$O$200,"J"),SUMIFS($V$10:$V$200,$L$10:$L$200,"Feira",$O$10:$O$200,"J"))</f>
        <v>0</v>
      </c>
      <c r="AE70" s="49">
        <f>SUM(SUMIFS($G$10:$G$200,$L$10:$L$200,"Feira",$O$10:$O$200,"F"),SUMIFS($V$10:$V$200,$L$10:$L$200,"Feira",$O$10:$O$200,"F"))</f>
        <v>0</v>
      </c>
      <c r="AF70" s="49">
        <f>SUM(SUMIFS($G$10:$G$200,$L$10:$L$200,"Feira",$O$10:$O$200,"G"),SUMIFS($V$10:$V$200,$L$10:$L$200,"Feira",$O$10:$O$200,"G"))</f>
        <v>267.5</v>
      </c>
      <c r="AG70" s="78"/>
      <c r="AH70" s="10"/>
      <c r="AK70" s="10"/>
      <c r="AL70" s="10"/>
      <c r="AM70" s="10"/>
      <c r="AN70" s="200">
        <f t="shared" si="31"/>
        <v>46304.92</v>
      </c>
      <c r="AO70" s="196">
        <f t="shared" si="32"/>
        <v>46304.92</v>
      </c>
      <c r="AP70" s="33" t="str">
        <f t="shared" si="33"/>
        <v>P</v>
      </c>
      <c r="AQ70" s="99" t="str">
        <f t="shared" si="34"/>
        <v>Ref/Lanche</v>
      </c>
      <c r="AR70" s="218">
        <v>46257</v>
      </c>
      <c r="AS70" s="289" t="s">
        <v>219</v>
      </c>
      <c r="AT70" s="163">
        <v>47.92</v>
      </c>
      <c r="AU70" s="48"/>
      <c r="AV70" s="5"/>
      <c r="AW70" s="5"/>
      <c r="AX70" s="5"/>
      <c r="AY70" s="5"/>
      <c r="AZ70" s="5"/>
      <c r="BB70" s="3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T70" s="3"/>
    </row>
    <row r="71" spans="1:72" s="18" customFormat="1" ht="15" customHeight="1">
      <c r="A71" s="54">
        <f t="shared" si="29"/>
        <v>1</v>
      </c>
      <c r="B71" s="73">
        <f t="shared" si="6"/>
        <v>62</v>
      </c>
      <c r="C71" s="182">
        <v>75.5</v>
      </c>
      <c r="D71" s="191">
        <v>46240</v>
      </c>
      <c r="E71" s="185" t="s">
        <v>24</v>
      </c>
      <c r="F71" s="5"/>
      <c r="G71" s="58" t="str">
        <f t="shared" si="16"/>
        <v/>
      </c>
      <c r="H71" s="6"/>
      <c r="I71" s="153" t="s">
        <v>2</v>
      </c>
      <c r="J71" s="207">
        <f t="shared" si="17"/>
        <v>46315.5</v>
      </c>
      <c r="K71" s="207">
        <f t="shared" si="20"/>
        <v>46315.5</v>
      </c>
      <c r="L71" s="130" t="s">
        <v>28</v>
      </c>
      <c r="M71" s="254">
        <f>IF(L71=$Y$103,MAX($M$10:M70)+1,0)</f>
        <v>0</v>
      </c>
      <c r="N71" s="261">
        <f>IF(L71=$Y$119,MAX($N$10:N70)+1,0)</f>
        <v>0</v>
      </c>
      <c r="O71" s="224" t="s">
        <v>94</v>
      </c>
      <c r="P71" s="130" t="s">
        <v>90</v>
      </c>
      <c r="Q71" s="135" t="str">
        <f t="shared" si="18"/>
        <v>P</v>
      </c>
      <c r="R71" s="132">
        <v>2</v>
      </c>
      <c r="S71" s="134" t="s">
        <v>22</v>
      </c>
      <c r="T71" s="133">
        <v>2</v>
      </c>
      <c r="U71" s="6"/>
      <c r="V71" s="58">
        <f t="shared" si="10"/>
        <v>75.5</v>
      </c>
      <c r="W71" s="111"/>
      <c r="X71" s="30"/>
      <c r="Y71" s="94">
        <f t="shared" si="30"/>
        <v>1094.18</v>
      </c>
      <c r="Z71" s="88"/>
      <c r="AA71" s="95" t="s">
        <v>108</v>
      </c>
      <c r="AB71" s="88"/>
      <c r="AC71" s="162"/>
      <c r="AD71" s="49">
        <f>SUM(SUMIFS($G$10:$G$200,$L$10:$L$200,"Ref/Lanche",$O$10:$O$200,"J"),SUMIFS($V$10:$V$200,$L$10:$L$200,"Ref/Lanche",$O$10:$O$200,"J"))</f>
        <v>43.99</v>
      </c>
      <c r="AE71" s="49">
        <f>SUM(SUMIFS($G$10:$G$200,$L$10:$L$200,"Ref/Lanche",$O$10:$O$200,"F"),SUMIFS($V$10:$V$200,$L$10:$L$200,"Ref/Lanche",$O$10:$O$200,"F"))</f>
        <v>40.35</v>
      </c>
      <c r="AF71" s="49">
        <f>SUM(SUMIFS($G$10:$G$200,$L$10:$L$200,"Ref/Lanche",$O$10:$O$200,"G"),SUMIFS($V$10:$V$200,$L$10:$L$200,"Ref/Lanche",$O$10:$O$200,"G"))</f>
        <v>1009.8400000000001</v>
      </c>
      <c r="AG71" s="78"/>
      <c r="AH71" s="10"/>
      <c r="AK71" s="10"/>
      <c r="AL71" s="10"/>
      <c r="AM71" s="10"/>
      <c r="AN71" s="200">
        <f t="shared" si="31"/>
        <v>46351.35</v>
      </c>
      <c r="AO71" s="196">
        <f t="shared" si="32"/>
        <v>46351.35</v>
      </c>
      <c r="AP71" s="33" t="str">
        <f t="shared" si="33"/>
        <v>P</v>
      </c>
      <c r="AQ71" s="99" t="str">
        <f t="shared" si="34"/>
        <v>Guto</v>
      </c>
      <c r="AR71" s="218">
        <v>46267</v>
      </c>
      <c r="AS71" s="289" t="s">
        <v>231</v>
      </c>
      <c r="AT71" s="219">
        <v>84.35</v>
      </c>
      <c r="AU71" s="48"/>
      <c r="AV71" s="13"/>
      <c r="AW71" s="17"/>
      <c r="AX71" s="5"/>
      <c r="AY71" s="5"/>
      <c r="AZ71" s="5"/>
      <c r="BA71" s="5"/>
      <c r="BB71" s="5"/>
      <c r="BD71" s="3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T71" s="3"/>
    </row>
    <row r="72" spans="1:72" s="18" customFormat="1" ht="15" customHeight="1">
      <c r="A72" s="54">
        <f t="shared" si="29"/>
        <v>1</v>
      </c>
      <c r="B72" s="73">
        <f t="shared" si="6"/>
        <v>63</v>
      </c>
      <c r="C72" s="182">
        <v>4.07</v>
      </c>
      <c r="D72" s="191">
        <v>46251</v>
      </c>
      <c r="E72" s="185" t="s">
        <v>49</v>
      </c>
      <c r="F72" s="5"/>
      <c r="G72" s="58" t="str">
        <f t="shared" si="16"/>
        <v/>
      </c>
      <c r="H72" s="6"/>
      <c r="I72" s="130" t="s">
        <v>2</v>
      </c>
      <c r="J72" s="207">
        <f t="shared" si="17"/>
        <v>46255.07</v>
      </c>
      <c r="K72" s="207">
        <f t="shared" si="20"/>
        <v>46255.07</v>
      </c>
      <c r="L72" s="153" t="s">
        <v>7</v>
      </c>
      <c r="M72" s="254">
        <f>IF(L72=$Y$103,MAX($M$10:M71)+1,0)</f>
        <v>0</v>
      </c>
      <c r="N72" s="261">
        <f>IF(L72=$Y$119,MAX($N$10:N71)+1,0)</f>
        <v>0</v>
      </c>
      <c r="O72" s="224" t="s">
        <v>94</v>
      </c>
      <c r="P72" s="130" t="s">
        <v>8</v>
      </c>
      <c r="Q72" s="135" t="str">
        <f t="shared" si="18"/>
        <v>P</v>
      </c>
      <c r="R72" s="132"/>
      <c r="S72" s="134"/>
      <c r="T72" s="133"/>
      <c r="U72" s="6"/>
      <c r="V72" s="58">
        <f t="shared" si="10"/>
        <v>4.07</v>
      </c>
      <c r="W72" s="10"/>
      <c r="X72" s="30"/>
      <c r="Y72" s="94">
        <f t="shared" si="30"/>
        <v>206.59</v>
      </c>
      <c r="Z72" s="88"/>
      <c r="AA72" s="95" t="s">
        <v>28</v>
      </c>
      <c r="AB72" s="88"/>
      <c r="AC72" s="162"/>
      <c r="AD72" s="49">
        <f>SUM(SUMIFS($G$10:$G$200,$L$10:$L$200,"Farmácia",$O$10:$O$200,"J"),SUMIFS($V$10:$V$200,$L$10:$L$200,"Farmácia",$O$10:$O$200,"J"))</f>
        <v>0</v>
      </c>
      <c r="AE72" s="49">
        <f>SUM(SUMIFS($G$10:$G$200,$L$10:$L$200,"Farmácia",$O$10:$O$200,"F"),SUMIFS($V$10:$V$200,$L$10:$L$200,"Farmácia",$O$10:$O$200,"F"))</f>
        <v>131.09</v>
      </c>
      <c r="AF72" s="49">
        <f>SUM(SUMIFS($G$10:$G$200,$L$10:$L$200,"Farmácia",$O$10:$O$200,"G"),SUMIFS($V$10:$V$200,$L$10:$L$200,"Farmácia",$O$10:$O$200,"G"))</f>
        <v>75.5</v>
      </c>
      <c r="AG72" s="78"/>
      <c r="AH72" s="10"/>
      <c r="AK72" s="10"/>
      <c r="AL72" s="10"/>
      <c r="AM72" s="10"/>
      <c r="AN72" s="200">
        <f t="shared" si="31"/>
        <v>46316.9</v>
      </c>
      <c r="AO72" s="196">
        <f t="shared" si="32"/>
        <v>46316.9</v>
      </c>
      <c r="AP72" s="33" t="str">
        <f t="shared" si="33"/>
        <v>P</v>
      </c>
      <c r="AQ72" s="99" t="str">
        <f t="shared" si="34"/>
        <v>TV</v>
      </c>
      <c r="AR72" s="218">
        <v>46257</v>
      </c>
      <c r="AS72" s="289" t="s">
        <v>72</v>
      </c>
      <c r="AT72" s="163">
        <v>59.9</v>
      </c>
      <c r="AU72" s="48"/>
      <c r="AV72" s="13"/>
      <c r="AW72" s="17"/>
      <c r="AX72" s="5"/>
      <c r="AY72" s="5"/>
      <c r="AZ72" s="5"/>
      <c r="BA72" s="5"/>
      <c r="BB72" s="5"/>
      <c r="BD72" s="3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T72" s="3"/>
    </row>
    <row r="73" spans="1:72" s="18" customFormat="1" ht="15" customHeight="1">
      <c r="A73" s="54">
        <f t="shared" si="29"/>
        <v>1</v>
      </c>
      <c r="B73" s="73">
        <f t="shared" si="6"/>
        <v>64</v>
      </c>
      <c r="C73" s="182">
        <v>254.63</v>
      </c>
      <c r="D73" s="192">
        <v>46252</v>
      </c>
      <c r="E73" s="290" t="s">
        <v>57</v>
      </c>
      <c r="F73" s="5"/>
      <c r="G73" s="58" t="str">
        <f t="shared" si="16"/>
        <v/>
      </c>
      <c r="H73" s="6"/>
      <c r="I73" s="130" t="s">
        <v>2</v>
      </c>
      <c r="J73" s="221">
        <f t="shared" si="17"/>
        <v>46506.63</v>
      </c>
      <c r="K73" s="212">
        <f t="shared" si="20"/>
        <v>46506.63</v>
      </c>
      <c r="L73" s="249" t="s">
        <v>29</v>
      </c>
      <c r="M73" s="254">
        <f>IF(L73=$Y$103,MAX($M$10:M72)+1,0)</f>
        <v>0</v>
      </c>
      <c r="N73" s="261">
        <f>IF(L73=$Y$119,MAX($N$10:N72)+1,0)</f>
        <v>0</v>
      </c>
      <c r="O73" s="224" t="s">
        <v>94</v>
      </c>
      <c r="P73" s="130" t="s">
        <v>8</v>
      </c>
      <c r="Q73" s="147" t="str">
        <f t="shared" si="18"/>
        <v>P</v>
      </c>
      <c r="R73" s="132"/>
      <c r="S73" s="134"/>
      <c r="T73" s="133"/>
      <c r="U73" s="6"/>
      <c r="V73" s="58">
        <f t="shared" si="10"/>
        <v>254.63</v>
      </c>
      <c r="W73" s="10"/>
      <c r="X73" s="30"/>
      <c r="Y73" s="94">
        <f t="shared" si="30"/>
        <v>32.700000000000003</v>
      </c>
      <c r="Z73" s="88"/>
      <c r="AA73" s="95" t="s">
        <v>37</v>
      </c>
      <c r="AB73" s="88"/>
      <c r="AC73" s="162"/>
      <c r="AD73" s="49">
        <f>SUM(SUMIFS($G$10:$G$200,$L$10:$L$200,"Uber",$O$10:$O$200,"J"),SUMIFS($V$10:$V$200,$L$10:$L$200,"Uber",$O$10:$O$200,"J"))</f>
        <v>15</v>
      </c>
      <c r="AE73" s="49">
        <f>SUM(SUMIFS($G$10:$G$200,$L$10:$L$200,"Uber",$O$10:$O$200,"F"),SUMIFS($V$10:$V$200,$L$10:$L$200,"Uber",$O$10:$O$200,"F"))</f>
        <v>0</v>
      </c>
      <c r="AF73" s="49">
        <f>SUM(SUMIFS($G$10:$G$200,$L$10:$L$200,"Uber",$O$10:$O$200,"G"),SUMIFS($V$10:$V$200,$L$10:$L$200,"Uber",$O$10:$O$200,"G"))</f>
        <v>17.7</v>
      </c>
      <c r="AG73" s="78"/>
      <c r="AH73" s="10"/>
      <c r="AK73" s="10"/>
      <c r="AL73" s="10"/>
      <c r="AM73" s="10"/>
      <c r="AN73" s="200">
        <f t="shared" si="31"/>
        <v>46280.9</v>
      </c>
      <c r="AO73" s="196">
        <f t="shared" si="32"/>
        <v>46280.9</v>
      </c>
      <c r="AP73" s="33" t="str">
        <f t="shared" si="33"/>
        <v>P</v>
      </c>
      <c r="AQ73" s="99" t="str">
        <f t="shared" si="34"/>
        <v>TV</v>
      </c>
      <c r="AR73" s="218">
        <v>46256</v>
      </c>
      <c r="AS73" s="289" t="s">
        <v>167</v>
      </c>
      <c r="AT73" s="163">
        <v>24.9</v>
      </c>
      <c r="AU73" s="48"/>
      <c r="AV73" s="13"/>
      <c r="AW73" s="17"/>
      <c r="AX73" s="5"/>
      <c r="AY73" s="5"/>
      <c r="AZ73" s="5"/>
      <c r="BA73" s="5"/>
      <c r="BB73" s="5"/>
      <c r="BD73" s="3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T73" s="3"/>
    </row>
    <row r="74" spans="1:72" s="18" customFormat="1" ht="15" customHeight="1">
      <c r="A74" s="54">
        <f t="shared" si="29"/>
        <v>1</v>
      </c>
      <c r="B74" s="73">
        <f t="shared" ref="B74:B137" si="35">IF(C74="","",B73+1)</f>
        <v>65</v>
      </c>
      <c r="C74" s="182">
        <v>249.9</v>
      </c>
      <c r="D74" s="191">
        <v>46259</v>
      </c>
      <c r="E74" s="298" t="s">
        <v>216</v>
      </c>
      <c r="F74" s="5"/>
      <c r="G74" s="58" t="str">
        <f t="shared" si="16"/>
        <v/>
      </c>
      <c r="H74" s="6"/>
      <c r="I74" s="153" t="s">
        <v>2</v>
      </c>
      <c r="J74" s="207">
        <f t="shared" si="17"/>
        <v>46508.9</v>
      </c>
      <c r="K74" s="207">
        <f t="shared" ref="K74:K104" si="36">IFERROR(VLOOKUP(J74,$AO$5:$AO$173,1,0),"")</f>
        <v>46508.9</v>
      </c>
      <c r="L74" s="153" t="s">
        <v>10</v>
      </c>
      <c r="M74" s="254">
        <f>IF(L74=$Y$103,MAX($M$10:M73)+1,0)</f>
        <v>5</v>
      </c>
      <c r="N74" s="261">
        <f>IF(L74=$Y$119,MAX($N$10:N73)+1,0)</f>
        <v>0</v>
      </c>
      <c r="O74" s="224" t="s">
        <v>98</v>
      </c>
      <c r="P74" s="130" t="s">
        <v>90</v>
      </c>
      <c r="Q74" s="135" t="str">
        <f t="shared" si="18"/>
        <v>P</v>
      </c>
      <c r="R74" s="132">
        <v>1</v>
      </c>
      <c r="S74" s="134" t="s">
        <v>22</v>
      </c>
      <c r="T74" s="133">
        <v>10</v>
      </c>
      <c r="U74" s="6"/>
      <c r="V74" s="58">
        <f t="shared" ref="V74:V137" si="37">IF(I74="Pago",C74,"")</f>
        <v>249.9</v>
      </c>
      <c r="W74" s="111"/>
      <c r="X74" s="30"/>
      <c r="Y74" s="94">
        <f t="shared" si="30"/>
        <v>100</v>
      </c>
      <c r="Z74" s="88"/>
      <c r="AA74" s="95" t="s">
        <v>21</v>
      </c>
      <c r="AB74" s="88"/>
      <c r="AC74" s="162"/>
      <c r="AD74" s="49">
        <f>SUM(SUMIFS($G$10:$G$200,$L$10:$L$200,"Carro",$O$10:$O$200,"J"),SUMIFS($V$10:$V$200,$L$10:$L$200,"Carro",$O$10:$O$200,"J"))</f>
        <v>0</v>
      </c>
      <c r="AE74" s="49">
        <f>SUM(SUMIFS($G$10:$G$200,$L$10:$L$200,"Carro",$O$10:$O$200,"F"),SUMIFS($V$10:$V$200,$L$10:$L$200,"Carro",$O$10:$O$200,"F"))</f>
        <v>0</v>
      </c>
      <c r="AF74" s="49">
        <f>SUM(SUMIFS($G$10:$G$200,$L$10:$L$200,"Carro",$O$10:$O$200,"G"),SUMIFS($V$10:$V$200,$L$10:$L$200,"Carro",$O$10:$O$200,"G"))</f>
        <v>100</v>
      </c>
      <c r="AG74" s="78"/>
      <c r="AH74" s="10"/>
      <c r="AK74" s="10"/>
      <c r="AL74" s="10"/>
      <c r="AM74" s="10"/>
      <c r="AN74" s="200">
        <f t="shared" si="31"/>
        <v>46289.99</v>
      </c>
      <c r="AO74" s="196">
        <f t="shared" si="32"/>
        <v>46289.99</v>
      </c>
      <c r="AP74" s="33" t="str">
        <f t="shared" si="33"/>
        <v>P</v>
      </c>
      <c r="AQ74" s="99" t="str">
        <f t="shared" si="34"/>
        <v>Ref/Lanche</v>
      </c>
      <c r="AR74" s="218">
        <v>46256</v>
      </c>
      <c r="AS74" s="289" t="s">
        <v>221</v>
      </c>
      <c r="AT74" s="163">
        <v>33.99</v>
      </c>
      <c r="AU74" s="48"/>
      <c r="AV74" s="13"/>
      <c r="AW74" s="17"/>
      <c r="AX74" s="5"/>
      <c r="AY74" s="5"/>
      <c r="AZ74" s="5"/>
      <c r="BA74" s="5"/>
      <c r="BB74" s="5"/>
      <c r="BD74" s="3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T74" s="3"/>
    </row>
    <row r="75" spans="1:72" s="18" customFormat="1" ht="15" customHeight="1">
      <c r="A75" s="54">
        <f t="shared" si="29"/>
        <v>1</v>
      </c>
      <c r="B75" s="73">
        <f t="shared" si="35"/>
        <v>66</v>
      </c>
      <c r="C75" s="182">
        <v>79.239999999999995</v>
      </c>
      <c r="D75" s="191">
        <v>46259</v>
      </c>
      <c r="E75" s="298" t="s">
        <v>217</v>
      </c>
      <c r="F75" s="5"/>
      <c r="G75" s="58" t="str">
        <f t="shared" si="16"/>
        <v/>
      </c>
      <c r="H75" s="6"/>
      <c r="I75" s="130" t="s">
        <v>2</v>
      </c>
      <c r="J75" s="207">
        <f t="shared" si="17"/>
        <v>46338.239999999998</v>
      </c>
      <c r="K75" s="207">
        <f t="shared" si="36"/>
        <v>46338.239999999998</v>
      </c>
      <c r="L75" s="153" t="s">
        <v>10</v>
      </c>
      <c r="M75" s="254">
        <f>IF(L75=$Y$103,MAX($M$10:M74)+1,0)</f>
        <v>6</v>
      </c>
      <c r="N75" s="261">
        <f>IF(L75=$Y$119,MAX($N$10:N74)+1,0)</f>
        <v>0</v>
      </c>
      <c r="O75" s="224" t="s">
        <v>98</v>
      </c>
      <c r="P75" s="130" t="s">
        <v>8</v>
      </c>
      <c r="Q75" s="135" t="str">
        <f t="shared" si="18"/>
        <v>P</v>
      </c>
      <c r="R75" s="132">
        <v>1</v>
      </c>
      <c r="S75" s="134" t="s">
        <v>22</v>
      </c>
      <c r="T75" s="133">
        <v>10</v>
      </c>
      <c r="U75" s="6"/>
      <c r="V75" s="58">
        <f t="shared" si="37"/>
        <v>79.239999999999995</v>
      </c>
      <c r="W75" s="10"/>
      <c r="X75" s="30"/>
      <c r="Y75" s="94">
        <f t="shared" si="30"/>
        <v>275.99</v>
      </c>
      <c r="Z75" s="88"/>
      <c r="AA75" s="95" t="s">
        <v>13</v>
      </c>
      <c r="AB75" s="88"/>
      <c r="AC75" s="162"/>
      <c r="AD75" s="49">
        <f>SUM(SUMIFS($G$10:$G$200,$L$10:$L$200,"Moto",$O$10:$O$200,"J"),SUMIFS($V$10:$V$200,$L$10:$L$200,"Moto",$O$10:$O$200,"J"))</f>
        <v>0</v>
      </c>
      <c r="AE75" s="49">
        <f>SUM(SUMIFS($G$10:$G$200,$L$10:$L$200,"Moto",$O$10:$O$200,"F"),SUMIFS($V$10:$V$200,$L$10:$L$200,"Moto",$O$10:$O$200,"F"))</f>
        <v>0</v>
      </c>
      <c r="AF75" s="49">
        <f>SUM(SUMIFS($G$10:$G$200,$L$10:$L$200,"Moto",$O$10:$O$200,"G"),SUMIFS($V$10:$V$200,$L$10:$L$200,"Moto",$O$10:$O$200,"G"))</f>
        <v>275.99</v>
      </c>
      <c r="AG75" s="78"/>
      <c r="AH75" s="10"/>
      <c r="AK75" s="10"/>
      <c r="AL75" s="10"/>
      <c r="AM75" s="10"/>
      <c r="AN75" s="200">
        <f t="shared" si="31"/>
        <v>46273.7</v>
      </c>
      <c r="AO75" s="196">
        <f t="shared" si="32"/>
        <v>46273.7</v>
      </c>
      <c r="AP75" s="33" t="str">
        <f t="shared" si="33"/>
        <v>P</v>
      </c>
      <c r="AQ75" s="99" t="str">
        <f t="shared" si="34"/>
        <v>Uber</v>
      </c>
      <c r="AR75" s="218">
        <v>46256</v>
      </c>
      <c r="AS75" s="289" t="s">
        <v>63</v>
      </c>
      <c r="AT75" s="163">
        <v>17.7</v>
      </c>
      <c r="AU75" s="48"/>
      <c r="AV75" s="13"/>
      <c r="AW75" s="17"/>
      <c r="AX75" s="5"/>
      <c r="AY75" s="5"/>
      <c r="AZ75" s="5"/>
      <c r="BA75" s="5"/>
      <c r="BB75" s="5"/>
      <c r="BD75" s="3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T75" s="3"/>
    </row>
    <row r="76" spans="1:72" s="18" customFormat="1" ht="15" customHeight="1">
      <c r="A76" s="54">
        <f t="shared" si="29"/>
        <v>1</v>
      </c>
      <c r="B76" s="73">
        <f t="shared" si="35"/>
        <v>67</v>
      </c>
      <c r="C76" s="182">
        <v>141.22</v>
      </c>
      <c r="D76" s="191">
        <v>46259</v>
      </c>
      <c r="E76" s="298" t="s">
        <v>218</v>
      </c>
      <c r="F76" s="5"/>
      <c r="G76" s="58" t="str">
        <f t="shared" si="16"/>
        <v/>
      </c>
      <c r="H76" s="6"/>
      <c r="I76" s="130" t="s">
        <v>2</v>
      </c>
      <c r="J76" s="207">
        <f t="shared" si="17"/>
        <v>46400.22</v>
      </c>
      <c r="K76" s="207">
        <f t="shared" si="36"/>
        <v>46400.22</v>
      </c>
      <c r="L76" s="153" t="s">
        <v>10</v>
      </c>
      <c r="M76" s="254">
        <f>IF(L76=$Y$103,MAX($M$10:M75)+1,0)</f>
        <v>7</v>
      </c>
      <c r="N76" s="261">
        <f>IF(L76=$Y$119,MAX($N$10:N75)+1,0)</f>
        <v>0</v>
      </c>
      <c r="O76" s="224" t="s">
        <v>98</v>
      </c>
      <c r="P76" s="130" t="s">
        <v>8</v>
      </c>
      <c r="Q76" s="135" t="str">
        <f t="shared" si="18"/>
        <v>P</v>
      </c>
      <c r="R76" s="132">
        <v>1</v>
      </c>
      <c r="S76" s="134" t="s">
        <v>22</v>
      </c>
      <c r="T76" s="133">
        <v>10</v>
      </c>
      <c r="U76" s="6"/>
      <c r="V76" s="58">
        <f t="shared" si="37"/>
        <v>141.22</v>
      </c>
      <c r="W76" s="10"/>
      <c r="X76" s="30"/>
      <c r="Y76" s="150">
        <f t="shared" si="30"/>
        <v>477.89</v>
      </c>
      <c r="Z76" s="88"/>
      <c r="AA76" s="93" t="s">
        <v>111</v>
      </c>
      <c r="AB76" s="88"/>
      <c r="AC76" s="174"/>
      <c r="AD76" s="43">
        <f>SUM(SUMIFS($G$10:$G$200,$L$10:$L$200,"Extras J",$O$10:$O$200,"J"),SUMIFS($V$10:$V$200,$L$10:$L$200,"Extras J",$O$10:$O$200,"J"))</f>
        <v>291.55</v>
      </c>
      <c r="AE76" s="43">
        <f>SUM(SUMIFS($G$10:$G$200,$L$10:$L$200,"Extras J",$O$10:$O$200,"F"),SUMIFS($V$10:$V$200,$L$10:$L$200,"Extras J",$O$10:$O$200,"F"))</f>
        <v>0</v>
      </c>
      <c r="AF76" s="43">
        <f>SUM(SUMIFS($G$10:$G$200,$L$10:$L$200,"Extras J",$O$10:$O$200,"G"),SUMIFS($V$10:$V$200,$L$10:$L$200,"Extras J",$O$10:$O$200,"G"))</f>
        <v>186.34</v>
      </c>
      <c r="AG76" s="78"/>
      <c r="AH76" s="10"/>
      <c r="AK76" s="10"/>
      <c r="AL76" s="10"/>
      <c r="AM76" s="10"/>
      <c r="AN76" s="200">
        <f t="shared" si="31"/>
        <v>46291.6</v>
      </c>
      <c r="AO76" s="196">
        <f t="shared" si="32"/>
        <v>46291.6</v>
      </c>
      <c r="AP76" s="33" t="str">
        <f t="shared" si="33"/>
        <v>P</v>
      </c>
      <c r="AQ76" s="99" t="str">
        <f t="shared" si="34"/>
        <v>Ref/Lanche</v>
      </c>
      <c r="AR76" s="218">
        <v>46256</v>
      </c>
      <c r="AS76" s="289" t="s">
        <v>73</v>
      </c>
      <c r="AT76" s="163">
        <v>35.6</v>
      </c>
      <c r="AU76" s="48"/>
      <c r="AV76" s="13"/>
      <c r="AW76" s="17"/>
      <c r="AX76" s="5"/>
      <c r="AY76" s="5"/>
      <c r="AZ76" s="5"/>
      <c r="BA76" s="5"/>
      <c r="BB76" s="5"/>
      <c r="BD76" s="3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T76" s="3"/>
    </row>
    <row r="77" spans="1:72" s="18" customFormat="1" ht="15" customHeight="1">
      <c r="A77" s="54">
        <f t="shared" si="29"/>
        <v>1</v>
      </c>
      <c r="B77" s="73">
        <f t="shared" si="35"/>
        <v>68</v>
      </c>
      <c r="C77" s="163">
        <v>37.520000000000003</v>
      </c>
      <c r="D77" s="218">
        <v>46258</v>
      </c>
      <c r="E77" s="185" t="s">
        <v>68</v>
      </c>
      <c r="F77" s="5"/>
      <c r="G77" s="58" t="str">
        <f t="shared" si="16"/>
        <v/>
      </c>
      <c r="H77" s="6"/>
      <c r="I77" s="153" t="s">
        <v>2</v>
      </c>
      <c r="J77" s="207">
        <f t="shared" si="17"/>
        <v>46295.519999999997</v>
      </c>
      <c r="K77" s="207">
        <f t="shared" si="36"/>
        <v>46295.519999999997</v>
      </c>
      <c r="L77" s="153" t="s">
        <v>145</v>
      </c>
      <c r="M77" s="254">
        <f>IF(L77=$Y$103,MAX($M$10:M76)+1,0)</f>
        <v>0</v>
      </c>
      <c r="N77" s="261">
        <f>IF(L77=$Y$119,MAX($N$10:N76)+1,0)</f>
        <v>0</v>
      </c>
      <c r="O77" s="224" t="s">
        <v>94</v>
      </c>
      <c r="P77" s="130" t="s">
        <v>90</v>
      </c>
      <c r="Q77" s="135" t="str">
        <f t="shared" si="18"/>
        <v>P</v>
      </c>
      <c r="R77" s="132"/>
      <c r="S77" s="134"/>
      <c r="T77" s="133"/>
      <c r="U77" s="6"/>
      <c r="V77" s="58">
        <f t="shared" si="37"/>
        <v>37.520000000000003</v>
      </c>
      <c r="W77" s="10"/>
      <c r="X77" s="30"/>
      <c r="Y77" s="123">
        <f t="shared" si="30"/>
        <v>1004.1400000000001</v>
      </c>
      <c r="Z77" s="88"/>
      <c r="AA77" s="126" t="s">
        <v>10</v>
      </c>
      <c r="AB77" s="88"/>
      <c r="AC77" s="175" t="str">
        <f>IF(500-AD77-AE77-AF77&lt;0,"R$ 0,00",500-AD77-AE77-AF77)</f>
        <v>R$ 0,00</v>
      </c>
      <c r="AD77" s="124">
        <f>SUM(SUMIFS($G$10:$G$200,$L$10:$L$200,"João",$O$10:$O$200,"J"),SUMIFS($V$10:$V$200,$L$10:$L$200,"João",$O$10:$O$200,"J"))</f>
        <v>1004.1400000000001</v>
      </c>
      <c r="AE77" s="124">
        <f>SUM(SUMIFS($G$10:$G$200,$L$10:$L$200,"João",$O$10:$O$200,"F"),SUMIFS($V$10:$V$200,$L$10:$L$200,"João",$O$10:$O$200,"F"))</f>
        <v>0</v>
      </c>
      <c r="AF77" s="125">
        <f>SUM(SUMIFS($G$10:$G$200,$L$10:$L$200,"João",$O$10:$O$200,"G"),SUMIFS($V$10:$V$200,$L$10:$L$200,"João",$O$10:$O$200,"G"))</f>
        <v>0</v>
      </c>
      <c r="AG77" s="78"/>
      <c r="AH77" s="10"/>
      <c r="AK77" s="10"/>
      <c r="AL77" s="10"/>
      <c r="AM77" s="10"/>
      <c r="AN77" s="200">
        <f t="shared" si="31"/>
        <v>46491.93</v>
      </c>
      <c r="AO77" s="196">
        <f t="shared" si="32"/>
        <v>46491.93</v>
      </c>
      <c r="AP77" s="33" t="str">
        <f t="shared" si="33"/>
        <v>P</v>
      </c>
      <c r="AQ77" s="99" t="str">
        <f t="shared" si="34"/>
        <v>Flavia</v>
      </c>
      <c r="AR77" s="218">
        <v>46255</v>
      </c>
      <c r="AS77" s="289" t="s">
        <v>61</v>
      </c>
      <c r="AT77" s="163">
        <v>236.93</v>
      </c>
      <c r="AU77" s="48"/>
      <c r="AV77" s="13"/>
      <c r="AW77" s="17"/>
      <c r="AX77" s="5"/>
      <c r="AY77" s="5"/>
      <c r="AZ77" s="5"/>
      <c r="BA77" s="5"/>
      <c r="BB77" s="5"/>
      <c r="BD77" s="3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T77" s="3"/>
    </row>
    <row r="78" spans="1:72" s="18" customFormat="1" ht="15" customHeight="1">
      <c r="A78" s="54">
        <f t="shared" si="29"/>
        <v>1</v>
      </c>
      <c r="B78" s="73">
        <f t="shared" si="35"/>
        <v>69</v>
      </c>
      <c r="C78" s="163">
        <v>48.49</v>
      </c>
      <c r="D78" s="218">
        <v>46258</v>
      </c>
      <c r="E78" s="185" t="s">
        <v>84</v>
      </c>
      <c r="F78" s="5"/>
      <c r="G78" s="58" t="str">
        <f t="shared" si="16"/>
        <v/>
      </c>
      <c r="H78" s="6"/>
      <c r="I78" s="153" t="s">
        <v>2</v>
      </c>
      <c r="J78" s="207">
        <f t="shared" si="17"/>
        <v>46306.49</v>
      </c>
      <c r="K78" s="207">
        <f t="shared" si="36"/>
        <v>46306.49</v>
      </c>
      <c r="L78" s="153" t="s">
        <v>145</v>
      </c>
      <c r="M78" s="254">
        <f>IF(L78=$Y$103,MAX($M$10:M77)+1,0)</f>
        <v>0</v>
      </c>
      <c r="N78" s="261">
        <f>IF(L78=$Y$119,MAX($N$10:N77)+1,0)</f>
        <v>0</v>
      </c>
      <c r="O78" s="224" t="s">
        <v>94</v>
      </c>
      <c r="P78" s="130" t="s">
        <v>90</v>
      </c>
      <c r="Q78" s="135" t="str">
        <f t="shared" si="18"/>
        <v>P</v>
      </c>
      <c r="R78" s="132"/>
      <c r="S78" s="134"/>
      <c r="T78" s="133"/>
      <c r="U78" s="6"/>
      <c r="V78" s="58">
        <f t="shared" si="37"/>
        <v>48.49</v>
      </c>
      <c r="W78" s="10"/>
      <c r="X78" s="30"/>
      <c r="Y78" s="151">
        <f t="shared" si="30"/>
        <v>1126.56</v>
      </c>
      <c r="Z78" s="88"/>
      <c r="AA78" s="104" t="s">
        <v>5</v>
      </c>
      <c r="AB78" s="88"/>
      <c r="AC78" s="176" t="str">
        <f>IF(550-AD78-AE78-AF78&lt;0,"R$ 0,00",550-AD78-AE78-AF78)</f>
        <v>R$ 0,00</v>
      </c>
      <c r="AD78" s="279">
        <f>SUM(SUMIFS($G$10:$G$200,$L$10:$L$200,"Flavia",$O$10:$O$200,"J"),SUMIFS($V$10:$V$200,$L$10:$L$200,"Flavia",$O$10:$O$200,"J"))</f>
        <v>0</v>
      </c>
      <c r="AE78" s="279">
        <f>SUM(SUMIFS($G$10:$G$200,$L$10:$L$200,"Flavia",$O$10:$O$200,"F"),SUMIFS($V$10:$V$200,$L$10:$L$200,"Flavia",$O$10:$O$200,"F"))</f>
        <v>1101.56</v>
      </c>
      <c r="AF78" s="280">
        <f>SUM(SUMIFS($G$10:$G$200,$L$10:$L$200,"Flavia",$O$10:$O$200,"G"),SUMIFS($V$10:$V$200,$L$10:$L$200,"Flavia",$O$10:$O$200,"G"))</f>
        <v>25</v>
      </c>
      <c r="AG78" s="78"/>
      <c r="AH78" s="10"/>
      <c r="AK78" s="10"/>
      <c r="AL78" s="10"/>
      <c r="AM78" s="10"/>
      <c r="AN78" s="200">
        <f t="shared" si="31"/>
        <v>46363.19</v>
      </c>
      <c r="AO78" s="196">
        <f t="shared" si="32"/>
        <v>46363.19</v>
      </c>
      <c r="AP78" s="33" t="str">
        <f t="shared" si="33"/>
        <v>P</v>
      </c>
      <c r="AQ78" s="99" t="str">
        <f t="shared" si="34"/>
        <v>Ref/Lanche</v>
      </c>
      <c r="AR78" s="218">
        <v>46254</v>
      </c>
      <c r="AS78" s="289" t="s">
        <v>168</v>
      </c>
      <c r="AT78" s="163">
        <v>109.19</v>
      </c>
      <c r="AU78" s="48"/>
      <c r="AV78" s="13"/>
      <c r="AW78" s="17"/>
      <c r="AX78" s="5"/>
      <c r="AY78" s="5"/>
      <c r="AZ78" s="5"/>
      <c r="BA78" s="5"/>
      <c r="BB78" s="5"/>
      <c r="BD78" s="3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T78" s="3"/>
    </row>
    <row r="79" spans="1:72" s="18" customFormat="1" ht="15" customHeight="1">
      <c r="A79" s="54">
        <f t="shared" si="29"/>
        <v>1</v>
      </c>
      <c r="B79" s="73">
        <f t="shared" si="35"/>
        <v>70</v>
      </c>
      <c r="C79" s="163">
        <v>19.82</v>
      </c>
      <c r="D79" s="218">
        <v>46258</v>
      </c>
      <c r="E79" s="185" t="s">
        <v>75</v>
      </c>
      <c r="F79" s="5"/>
      <c r="G79" s="58" t="str">
        <f t="shared" si="16"/>
        <v/>
      </c>
      <c r="H79" s="6"/>
      <c r="I79" s="153" t="s">
        <v>2</v>
      </c>
      <c r="J79" s="207">
        <f t="shared" si="17"/>
        <v>46277.82</v>
      </c>
      <c r="K79" s="207">
        <f t="shared" si="36"/>
        <v>46277.82</v>
      </c>
      <c r="L79" s="153" t="s">
        <v>7</v>
      </c>
      <c r="M79" s="254">
        <f>IF(L79=$Y$103,MAX($M$10:M78)+1,0)</f>
        <v>0</v>
      </c>
      <c r="N79" s="261">
        <f>IF(L79=$Y$119,MAX($N$10:N78)+1,0)</f>
        <v>0</v>
      </c>
      <c r="O79" s="224" t="s">
        <v>94</v>
      </c>
      <c r="P79" s="130" t="s">
        <v>90</v>
      </c>
      <c r="Q79" s="135" t="str">
        <f t="shared" si="18"/>
        <v>P</v>
      </c>
      <c r="R79" s="132"/>
      <c r="S79" s="134"/>
      <c r="T79" s="133"/>
      <c r="U79" s="6"/>
      <c r="V79" s="58">
        <f t="shared" si="37"/>
        <v>19.82</v>
      </c>
      <c r="W79" s="10"/>
      <c r="X79" s="30"/>
      <c r="Y79" s="94">
        <f t="shared" si="30"/>
        <v>4109.6499999999996</v>
      </c>
      <c r="Z79" s="88"/>
      <c r="AA79" s="97" t="s">
        <v>7</v>
      </c>
      <c r="AB79" s="88"/>
      <c r="AC79" s="157"/>
      <c r="AD79" s="43">
        <f>SUM(SUMIFS($G$10:$G$200,$L$10:$L$200,"Guto",$O$10:$O$200,"J"),SUMIFS($V$10:$V$200,$L$10:$L$200,"Guto",$O$10:$O$200,"J"))</f>
        <v>0</v>
      </c>
      <c r="AE79" s="43">
        <f>SUM(SUMIFS($G$10:$G$200,$L$10:$L$200,"Guto",$O$10:$O$200,"F"),SUMIFS($V$10:$V$200,$L$10:$L$200,"Guto",$O$10:$O$200,"F"))</f>
        <v>96.9</v>
      </c>
      <c r="AF79" s="43">
        <f>SUM(SUMIFS($G$10:$G$200,$L$10:$L$200,"Guto",$O$10:$O$200,"G"),SUMIFS($V$10:$V$200,$L$10:$L$200,"Guto",$O$10:$O$200,"G"))</f>
        <v>4012.75</v>
      </c>
      <c r="AG79" s="78"/>
      <c r="AH79" s="10"/>
      <c r="AK79" s="10"/>
      <c r="AL79" s="10"/>
      <c r="AM79" s="10"/>
      <c r="AN79" s="200">
        <f t="shared" si="31"/>
        <v>46353</v>
      </c>
      <c r="AO79" s="196">
        <f t="shared" si="32"/>
        <v>46353</v>
      </c>
      <c r="AP79" s="33" t="str">
        <f t="shared" si="33"/>
        <v>P</v>
      </c>
      <c r="AQ79" s="99" t="str">
        <f t="shared" si="34"/>
        <v>Carro</v>
      </c>
      <c r="AR79" s="218">
        <v>46253</v>
      </c>
      <c r="AS79" s="289" t="s">
        <v>133</v>
      </c>
      <c r="AT79" s="163">
        <v>100</v>
      </c>
      <c r="AU79" s="48"/>
      <c r="AV79" s="13"/>
      <c r="AW79" s="17"/>
      <c r="AX79" s="5"/>
      <c r="AY79" s="5"/>
      <c r="AZ79" s="5"/>
      <c r="BA79" s="5"/>
      <c r="BB79" s="5"/>
      <c r="BD79" s="3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T79" s="3"/>
    </row>
    <row r="80" spans="1:72" s="18" customFormat="1" ht="15" customHeight="1">
      <c r="A80" s="54">
        <f t="shared" si="29"/>
        <v>1</v>
      </c>
      <c r="B80" s="73">
        <f t="shared" si="35"/>
        <v>71</v>
      </c>
      <c r="C80" s="163">
        <v>47.92</v>
      </c>
      <c r="D80" s="218">
        <v>46257</v>
      </c>
      <c r="E80" s="185" t="s">
        <v>219</v>
      </c>
      <c r="F80" s="5"/>
      <c r="G80" s="58" t="str">
        <f t="shared" si="16"/>
        <v/>
      </c>
      <c r="H80" s="6"/>
      <c r="I80" s="153" t="s">
        <v>2</v>
      </c>
      <c r="J80" s="207">
        <f t="shared" si="17"/>
        <v>46304.92</v>
      </c>
      <c r="K80" s="207">
        <f t="shared" si="36"/>
        <v>46304.92</v>
      </c>
      <c r="L80" s="153" t="s">
        <v>145</v>
      </c>
      <c r="M80" s="254">
        <f>IF(L80=$Y$103,MAX($M$10:M79)+1,0)</f>
        <v>0</v>
      </c>
      <c r="N80" s="261">
        <f>IF(L80=$Y$119,MAX($N$10:N79)+1,0)</f>
        <v>0</v>
      </c>
      <c r="O80" s="224" t="s">
        <v>94</v>
      </c>
      <c r="P80" s="130" t="s">
        <v>90</v>
      </c>
      <c r="Q80" s="135" t="str">
        <f t="shared" si="18"/>
        <v>P</v>
      </c>
      <c r="R80" s="132"/>
      <c r="S80" s="134"/>
      <c r="T80" s="133"/>
      <c r="U80" s="6"/>
      <c r="V80" s="58">
        <f t="shared" si="37"/>
        <v>47.92</v>
      </c>
      <c r="W80" s="10"/>
      <c r="X80" s="30"/>
      <c r="Y80" s="759">
        <f>SUM(Y60:Y79)</f>
        <v>16958.22</v>
      </c>
      <c r="Z80" s="88"/>
      <c r="AA80" s="89"/>
      <c r="AB80" s="88"/>
      <c r="AC80" s="761">
        <f>SUM(AC60:AC79)</f>
        <v>583.63</v>
      </c>
      <c r="AD80" s="763">
        <f>SUM(AD60:AD79)</f>
        <v>1536.48</v>
      </c>
      <c r="AE80" s="763">
        <f>SUM(AE60:AE79)</f>
        <v>1369.9</v>
      </c>
      <c r="AF80" s="763">
        <f>SUM(AF60:AF79)</f>
        <v>13468.210000000001</v>
      </c>
      <c r="AG80" s="78"/>
      <c r="AH80" s="10"/>
      <c r="AK80" s="10"/>
      <c r="AL80" s="10"/>
      <c r="AM80" s="10"/>
      <c r="AN80" s="200">
        <f t="shared" si="31"/>
        <v>46328.09</v>
      </c>
      <c r="AO80" s="196">
        <f t="shared" si="32"/>
        <v>46328.09</v>
      </c>
      <c r="AP80" s="33" t="str">
        <f t="shared" si="33"/>
        <v>P</v>
      </c>
      <c r="AQ80" s="99" t="str">
        <f t="shared" si="34"/>
        <v>Ref/Lanche</v>
      </c>
      <c r="AR80" s="218">
        <v>46252</v>
      </c>
      <c r="AS80" s="289" t="s">
        <v>65</v>
      </c>
      <c r="AT80" s="163">
        <v>76.09</v>
      </c>
      <c r="AU80" s="48"/>
      <c r="AV80" s="5"/>
      <c r="AW80" s="5"/>
      <c r="AX80" s="5"/>
      <c r="AY80" s="3"/>
      <c r="AZ80" s="5"/>
      <c r="BA80" s="5"/>
      <c r="BB80" s="5"/>
      <c r="BT80" s="3"/>
    </row>
    <row r="81" spans="1:72" s="18" customFormat="1" ht="15" customHeight="1">
      <c r="A81" s="54">
        <f t="shared" si="29"/>
        <v>1</v>
      </c>
      <c r="B81" s="73">
        <f t="shared" si="35"/>
        <v>72</v>
      </c>
      <c r="C81" s="163">
        <v>89.64</v>
      </c>
      <c r="D81" s="218">
        <v>46257</v>
      </c>
      <c r="E81" s="185" t="s">
        <v>220</v>
      </c>
      <c r="F81" s="5"/>
      <c r="G81" s="58" t="str">
        <f t="shared" si="16"/>
        <v/>
      </c>
      <c r="H81" s="6"/>
      <c r="I81" s="153" t="s">
        <v>2</v>
      </c>
      <c r="J81" s="207">
        <f t="shared" si="17"/>
        <v>46346.64</v>
      </c>
      <c r="K81" s="207" t="str">
        <f t="shared" si="36"/>
        <v/>
      </c>
      <c r="L81" s="153" t="s">
        <v>5</v>
      </c>
      <c r="M81" s="254">
        <f>IF(L81=$Y$103,MAX($M$10:M80)+1,0)</f>
        <v>0</v>
      </c>
      <c r="N81" s="261">
        <f>IF(L81=$Y$119,MAX($N$10:N80)+1,0)</f>
        <v>7</v>
      </c>
      <c r="O81" s="224" t="s">
        <v>89</v>
      </c>
      <c r="P81" s="130" t="s">
        <v>90</v>
      </c>
      <c r="Q81" s="135" t="str">
        <f t="shared" si="18"/>
        <v>O</v>
      </c>
      <c r="R81" s="132">
        <v>1</v>
      </c>
      <c r="S81" s="134" t="s">
        <v>22</v>
      </c>
      <c r="T81" s="133">
        <v>6</v>
      </c>
      <c r="U81" s="6"/>
      <c r="V81" s="58">
        <f t="shared" si="37"/>
        <v>89.64</v>
      </c>
      <c r="W81" s="10"/>
      <c r="X81" s="30"/>
      <c r="Y81" s="760"/>
      <c r="Z81" s="88"/>
      <c r="AA81" s="89"/>
      <c r="AB81" s="88"/>
      <c r="AC81" s="762"/>
      <c r="AD81" s="764"/>
      <c r="AE81" s="764"/>
      <c r="AF81" s="764"/>
      <c r="AG81" s="78"/>
      <c r="AH81" s="10"/>
      <c r="AK81" s="10"/>
      <c r="AL81" s="10"/>
      <c r="AM81" s="10"/>
      <c r="AN81" s="200">
        <f t="shared" si="31"/>
        <v>46267.4</v>
      </c>
      <c r="AO81" s="196">
        <f t="shared" si="32"/>
        <v>46267.4</v>
      </c>
      <c r="AP81" s="33" t="str">
        <f t="shared" si="33"/>
        <v>P</v>
      </c>
      <c r="AQ81" s="99" t="str">
        <f t="shared" si="34"/>
        <v>Extras J</v>
      </c>
      <c r="AR81" s="218">
        <v>46251</v>
      </c>
      <c r="AS81" s="289" t="s">
        <v>63</v>
      </c>
      <c r="AT81" s="163">
        <v>16.399999999999999</v>
      </c>
      <c r="AU81" s="48"/>
      <c r="AV81" s="5"/>
      <c r="AW81" s="5"/>
      <c r="AX81" s="5"/>
      <c r="AY81" s="3"/>
      <c r="AZ81" s="5"/>
      <c r="BA81" s="5"/>
      <c r="BB81" s="5"/>
      <c r="BT81" s="3"/>
    </row>
    <row r="82" spans="1:72" s="18" customFormat="1" ht="15" customHeight="1">
      <c r="A82" s="54">
        <f t="shared" si="29"/>
        <v>1</v>
      </c>
      <c r="B82" s="73">
        <f t="shared" si="35"/>
        <v>73</v>
      </c>
      <c r="C82" s="163">
        <v>33.99</v>
      </c>
      <c r="D82" s="218">
        <v>46256</v>
      </c>
      <c r="E82" s="185" t="s">
        <v>221</v>
      </c>
      <c r="F82" s="5"/>
      <c r="G82" s="58" t="str">
        <f t="shared" si="16"/>
        <v/>
      </c>
      <c r="H82" s="6"/>
      <c r="I82" s="153" t="s">
        <v>2</v>
      </c>
      <c r="J82" s="207">
        <f t="shared" si="17"/>
        <v>46289.99</v>
      </c>
      <c r="K82" s="207">
        <f t="shared" si="36"/>
        <v>46289.99</v>
      </c>
      <c r="L82" s="153" t="s">
        <v>145</v>
      </c>
      <c r="M82" s="254">
        <f>IF(L82=$Y$103,MAX($M$10:M81)+1,0)</f>
        <v>0</v>
      </c>
      <c r="N82" s="261">
        <f>IF(L82=$Y$119,MAX($N$10:N81)+1,0)</f>
        <v>0</v>
      </c>
      <c r="O82" s="224" t="s">
        <v>94</v>
      </c>
      <c r="P82" s="130" t="s">
        <v>90</v>
      </c>
      <c r="Q82" s="135" t="str">
        <f t="shared" si="18"/>
        <v>P</v>
      </c>
      <c r="R82" s="132"/>
      <c r="S82" s="134"/>
      <c r="T82" s="133"/>
      <c r="U82" s="6"/>
      <c r="V82" s="58">
        <f t="shared" si="37"/>
        <v>33.99</v>
      </c>
      <c r="W82" s="10"/>
      <c r="X82" s="30"/>
      <c r="Y82" s="87"/>
      <c r="Z82" s="87"/>
      <c r="AA82" s="88"/>
      <c r="AB82" s="88"/>
      <c r="AC82" s="87"/>
      <c r="AD82" s="87"/>
      <c r="AE82" s="127"/>
      <c r="AF82" s="87"/>
      <c r="AG82" s="78"/>
      <c r="AH82" s="10"/>
      <c r="AK82" s="10"/>
      <c r="AL82" s="10"/>
      <c r="AM82" s="10"/>
      <c r="AN82" s="200">
        <f t="shared" si="31"/>
        <v>46330.99</v>
      </c>
      <c r="AO82" s="196">
        <f t="shared" si="32"/>
        <v>46330.99</v>
      </c>
      <c r="AP82" s="33" t="str">
        <f t="shared" si="33"/>
        <v>P</v>
      </c>
      <c r="AQ82" s="99" t="str">
        <f t="shared" si="34"/>
        <v>Ref/Lanche</v>
      </c>
      <c r="AR82" s="218">
        <v>46251</v>
      </c>
      <c r="AS82" s="289" t="s">
        <v>193</v>
      </c>
      <c r="AT82" s="163">
        <v>79.989999999999995</v>
      </c>
      <c r="AU82" s="48"/>
      <c r="AV82" s="5"/>
      <c r="AW82" s="5"/>
      <c r="AX82" s="5"/>
      <c r="AY82" s="3"/>
      <c r="AZ82" s="5"/>
      <c r="BA82" s="5"/>
      <c r="BB82" s="5"/>
      <c r="BT82" s="3"/>
    </row>
    <row r="83" spans="1:72" s="18" customFormat="1" ht="15" customHeight="1">
      <c r="A83" s="54">
        <f t="shared" si="29"/>
        <v>1</v>
      </c>
      <c r="B83" s="73">
        <f t="shared" si="35"/>
        <v>74</v>
      </c>
      <c r="C83" s="163">
        <v>17.7</v>
      </c>
      <c r="D83" s="218">
        <v>46256</v>
      </c>
      <c r="E83" s="185" t="s">
        <v>63</v>
      </c>
      <c r="F83" s="5"/>
      <c r="G83" s="58" t="str">
        <f t="shared" si="16"/>
        <v/>
      </c>
      <c r="H83" s="6"/>
      <c r="I83" s="153" t="s">
        <v>2</v>
      </c>
      <c r="J83" s="207">
        <f t="shared" si="17"/>
        <v>46273.7</v>
      </c>
      <c r="K83" s="207">
        <f t="shared" si="36"/>
        <v>46273.7</v>
      </c>
      <c r="L83" s="153" t="s">
        <v>37</v>
      </c>
      <c r="M83" s="254">
        <f>IF(L83=$Y$103,MAX($M$10:M82)+1,0)</f>
        <v>0</v>
      </c>
      <c r="N83" s="261">
        <f>IF(L83=$Y$119,MAX($N$10:N82)+1,0)</f>
        <v>0</v>
      </c>
      <c r="O83" s="224" t="s">
        <v>94</v>
      </c>
      <c r="P83" s="130" t="s">
        <v>90</v>
      </c>
      <c r="Q83" s="135" t="str">
        <f t="shared" si="18"/>
        <v>P</v>
      </c>
      <c r="R83" s="132"/>
      <c r="S83" s="134"/>
      <c r="T83" s="133"/>
      <c r="U83" s="6"/>
      <c r="V83" s="58">
        <f t="shared" si="37"/>
        <v>17.7</v>
      </c>
      <c r="W83" s="10"/>
      <c r="X83" s="30"/>
      <c r="Y83" s="87"/>
      <c r="Z83" s="87"/>
      <c r="AA83" s="88"/>
      <c r="AB83" s="88"/>
      <c r="AC83" s="87"/>
      <c r="AD83" s="542" t="s">
        <v>10</v>
      </c>
      <c r="AE83" s="542" t="s">
        <v>5</v>
      </c>
      <c r="AF83" s="542" t="s">
        <v>7</v>
      </c>
      <c r="AG83" s="78"/>
      <c r="AH83" s="10"/>
      <c r="AK83" s="10"/>
      <c r="AL83" s="10"/>
      <c r="AM83" s="10"/>
      <c r="AN83" s="200">
        <f t="shared" si="31"/>
        <v>46326.58</v>
      </c>
      <c r="AO83" s="196">
        <f t="shared" si="32"/>
        <v>46326.58</v>
      </c>
      <c r="AP83" s="33" t="str">
        <f t="shared" si="33"/>
        <v>P</v>
      </c>
      <c r="AQ83" s="99" t="str">
        <f t="shared" si="34"/>
        <v>Guto</v>
      </c>
      <c r="AR83" s="218">
        <v>46251</v>
      </c>
      <c r="AS83" s="289" t="s">
        <v>194</v>
      </c>
      <c r="AT83" s="163">
        <v>75.58</v>
      </c>
      <c r="AU83" s="48"/>
      <c r="AV83" s="5"/>
      <c r="AW83" s="5"/>
      <c r="AX83" s="5"/>
      <c r="AY83" s="3"/>
      <c r="AZ83" s="5"/>
      <c r="BA83" s="5"/>
      <c r="BB83" s="5"/>
      <c r="BT83" s="3"/>
    </row>
    <row r="84" spans="1:72" s="18" customFormat="1" ht="15" customHeight="1">
      <c r="A84" s="54">
        <f t="shared" si="29"/>
        <v>1</v>
      </c>
      <c r="B84" s="73">
        <f t="shared" si="35"/>
        <v>75</v>
      </c>
      <c r="C84" s="163">
        <v>35.6</v>
      </c>
      <c r="D84" s="218">
        <v>46256</v>
      </c>
      <c r="E84" s="185" t="s">
        <v>73</v>
      </c>
      <c r="F84" s="5"/>
      <c r="G84" s="58" t="str">
        <f t="shared" si="16"/>
        <v/>
      </c>
      <c r="H84" s="6"/>
      <c r="I84" s="153" t="s">
        <v>2</v>
      </c>
      <c r="J84" s="207">
        <f t="shared" si="17"/>
        <v>46291.6</v>
      </c>
      <c r="K84" s="207">
        <f t="shared" si="36"/>
        <v>46291.6</v>
      </c>
      <c r="L84" s="153" t="s">
        <v>145</v>
      </c>
      <c r="M84" s="254">
        <f>IF(L84=$Y$103,MAX($M$10:M83)+1,0)</f>
        <v>0</v>
      </c>
      <c r="N84" s="261">
        <f>IF(L84=$Y$119,MAX($N$10:N83)+1,0)</f>
        <v>0</v>
      </c>
      <c r="O84" s="224" t="s">
        <v>94</v>
      </c>
      <c r="P84" s="130" t="s">
        <v>90</v>
      </c>
      <c r="Q84" s="135" t="str">
        <f t="shared" si="18"/>
        <v>P</v>
      </c>
      <c r="R84" s="132"/>
      <c r="S84" s="134"/>
      <c r="T84" s="133"/>
      <c r="U84" s="6"/>
      <c r="V84" s="58">
        <f t="shared" si="37"/>
        <v>35.6</v>
      </c>
      <c r="W84" s="10"/>
      <c r="X84" s="30"/>
      <c r="Y84" s="166"/>
      <c r="Z84" s="87"/>
      <c r="AA84" s="88"/>
      <c r="AB84" s="88"/>
      <c r="AC84" s="87"/>
      <c r="AD84" s="765"/>
      <c r="AE84" s="765"/>
      <c r="AF84" s="765"/>
      <c r="AG84" s="78"/>
      <c r="AH84" s="10"/>
      <c r="AK84" s="10"/>
      <c r="AL84" s="10"/>
      <c r="AM84" s="10"/>
      <c r="AN84" s="200">
        <f t="shared" si="31"/>
        <v>46338</v>
      </c>
      <c r="AO84" s="196">
        <f t="shared" ref="AO84:AO147" si="38">AR84+AT84</f>
        <v>46338</v>
      </c>
      <c r="AP84" s="33" t="str">
        <f t="shared" si="33"/>
        <v>P</v>
      </c>
      <c r="AQ84" s="99" t="str">
        <f t="shared" si="34"/>
        <v>Extras J</v>
      </c>
      <c r="AR84" s="218">
        <v>46249</v>
      </c>
      <c r="AS84" s="289" t="s">
        <v>195</v>
      </c>
      <c r="AT84" s="163">
        <v>89</v>
      </c>
      <c r="AU84" s="48"/>
      <c r="AV84" s="5"/>
      <c r="AW84" s="5"/>
      <c r="AX84" s="5"/>
      <c r="AY84" s="3"/>
      <c r="AZ84" s="5"/>
      <c r="BA84" s="5"/>
      <c r="BB84" s="5"/>
      <c r="BT84" s="3"/>
    </row>
    <row r="85" spans="1:72" s="18" customFormat="1" ht="15" customHeight="1">
      <c r="A85" s="54">
        <f t="shared" si="29"/>
        <v>1</v>
      </c>
      <c r="B85" s="73">
        <f t="shared" si="35"/>
        <v>76</v>
      </c>
      <c r="C85" s="163">
        <v>236.93</v>
      </c>
      <c r="D85" s="218">
        <v>46255</v>
      </c>
      <c r="E85" s="185" t="s">
        <v>61</v>
      </c>
      <c r="F85" s="5"/>
      <c r="G85" s="58" t="str">
        <f t="shared" si="16"/>
        <v/>
      </c>
      <c r="H85" s="6"/>
      <c r="I85" s="153" t="s">
        <v>2</v>
      </c>
      <c r="J85" s="207">
        <f t="shared" si="17"/>
        <v>46491.93</v>
      </c>
      <c r="K85" s="207">
        <f t="shared" si="36"/>
        <v>46491.93</v>
      </c>
      <c r="L85" s="153" t="s">
        <v>5</v>
      </c>
      <c r="M85" s="254">
        <f>IF(L85=$Y$103,MAX($M$10:M84)+1,0)</f>
        <v>0</v>
      </c>
      <c r="N85" s="261">
        <f>IF(L85=$Y$119,MAX($N$10:N84)+1,0)</f>
        <v>8</v>
      </c>
      <c r="O85" s="224" t="s">
        <v>89</v>
      </c>
      <c r="P85" s="130" t="s">
        <v>90</v>
      </c>
      <c r="Q85" s="135" t="str">
        <f t="shared" si="18"/>
        <v>P</v>
      </c>
      <c r="R85" s="132"/>
      <c r="S85" s="134"/>
      <c r="T85" s="133"/>
      <c r="U85" s="6"/>
      <c r="V85" s="58">
        <f t="shared" si="37"/>
        <v>236.93</v>
      </c>
      <c r="W85" s="10"/>
      <c r="X85" s="30"/>
      <c r="Y85" s="167"/>
      <c r="Z85" s="61"/>
      <c r="AA85" s="88"/>
      <c r="AB85" s="61"/>
      <c r="AC85" s="166"/>
      <c r="AD85" s="766">
        <f>SUMIFS(C10:C199,L10:L199,"João",O10:O199,"J")</f>
        <v>1004.1400000000001</v>
      </c>
      <c r="AE85" s="766">
        <f>SUMIFS(C10:C199,L10:L199,"Flavia",O10:O199,"F")</f>
        <v>1101.56</v>
      </c>
      <c r="AF85" s="766">
        <f>SUMIFS(C10:C199,L10:L199,"Guto",O10:O199,"G")</f>
        <v>4012.75</v>
      </c>
      <c r="AG85" s="78"/>
      <c r="AH85" s="10"/>
      <c r="AK85" s="10"/>
      <c r="AL85" s="10"/>
      <c r="AM85" s="10"/>
      <c r="AN85" s="200">
        <f t="shared" si="31"/>
        <v>46299</v>
      </c>
      <c r="AO85" s="196">
        <f t="shared" si="38"/>
        <v>46299</v>
      </c>
      <c r="AP85" s="33" t="str">
        <f t="shared" ref="AP85:AP148" si="39">IF(AND(AN85=0,AO85=0),"",IF(AN85=AO85,"P",IF(AN85&lt;&gt;AO85,"O")))</f>
        <v>P</v>
      </c>
      <c r="AQ85" s="99" t="str">
        <f t="shared" si="34"/>
        <v>Moto</v>
      </c>
      <c r="AR85" s="218">
        <v>46249</v>
      </c>
      <c r="AS85" s="289" t="s">
        <v>116</v>
      </c>
      <c r="AT85" s="163">
        <v>50</v>
      </c>
      <c r="AU85" s="48"/>
      <c r="AV85" s="5"/>
      <c r="AW85" s="5"/>
      <c r="AX85" s="5"/>
      <c r="AY85" s="3"/>
      <c r="AZ85" s="5"/>
      <c r="BA85" s="5"/>
      <c r="BB85" s="5"/>
      <c r="BT85" s="3"/>
    </row>
    <row r="86" spans="1:72" s="18" customFormat="1" ht="15" customHeight="1">
      <c r="A86" s="54">
        <f t="shared" si="29"/>
        <v>1</v>
      </c>
      <c r="B86" s="73">
        <f t="shared" si="35"/>
        <v>77</v>
      </c>
      <c r="C86" s="163">
        <v>109.19</v>
      </c>
      <c r="D86" s="218">
        <v>46254</v>
      </c>
      <c r="E86" s="185" t="s">
        <v>168</v>
      </c>
      <c r="F86" s="5"/>
      <c r="G86" s="58" t="str">
        <f t="shared" si="16"/>
        <v/>
      </c>
      <c r="H86" s="6"/>
      <c r="I86" s="153" t="s">
        <v>2</v>
      </c>
      <c r="J86" s="207">
        <f t="shared" si="17"/>
        <v>46363.19</v>
      </c>
      <c r="K86" s="207">
        <f t="shared" si="36"/>
        <v>46363.19</v>
      </c>
      <c r="L86" s="153" t="s">
        <v>145</v>
      </c>
      <c r="M86" s="254">
        <f>IF(L86=$Y$103,MAX($M$10:M85)+1,0)</f>
        <v>0</v>
      </c>
      <c r="N86" s="261">
        <f>IF(L86=$Y$119,MAX($N$10:N85)+1,0)</f>
        <v>0</v>
      </c>
      <c r="O86" s="224" t="s">
        <v>94</v>
      </c>
      <c r="P86" s="130" t="s">
        <v>90</v>
      </c>
      <c r="Q86" s="135" t="str">
        <f t="shared" si="18"/>
        <v>P</v>
      </c>
      <c r="R86" s="132"/>
      <c r="S86" s="134"/>
      <c r="T86" s="133"/>
      <c r="U86" s="6"/>
      <c r="V86" s="58">
        <f t="shared" si="37"/>
        <v>109.19</v>
      </c>
      <c r="X86" s="30"/>
      <c r="Y86" s="167"/>
      <c r="Z86" s="61"/>
      <c r="AA86" s="88"/>
      <c r="AB86" s="61"/>
      <c r="AC86" s="87"/>
      <c r="AD86" s="767"/>
      <c r="AE86" s="767"/>
      <c r="AF86" s="767"/>
      <c r="AG86" s="78"/>
      <c r="AH86" s="10"/>
      <c r="AK86" s="10"/>
      <c r="AL86" s="10"/>
      <c r="AM86" s="10"/>
      <c r="AN86" s="200">
        <f t="shared" si="31"/>
        <v>46268.4</v>
      </c>
      <c r="AO86" s="196">
        <f t="shared" si="38"/>
        <v>46268.4</v>
      </c>
      <c r="AP86" s="33" t="str">
        <f t="shared" si="39"/>
        <v>P</v>
      </c>
      <c r="AQ86" s="99" t="str">
        <f t="shared" si="34"/>
        <v>Extras J</v>
      </c>
      <c r="AR86" s="218">
        <v>46249</v>
      </c>
      <c r="AS86" s="289" t="s">
        <v>63</v>
      </c>
      <c r="AT86" s="163">
        <v>19.399999999999999</v>
      </c>
      <c r="AU86" s="48"/>
      <c r="AV86" s="5"/>
      <c r="AW86" s="5"/>
      <c r="AX86" s="5"/>
      <c r="AY86" s="3"/>
      <c r="AZ86" s="5"/>
      <c r="BA86" s="5"/>
      <c r="BB86" s="5"/>
      <c r="BT86" s="3"/>
    </row>
    <row r="87" spans="1:72" s="18" customFormat="1" ht="15" customHeight="1">
      <c r="A87" s="54">
        <f t="shared" si="29"/>
        <v>1</v>
      </c>
      <c r="B87" s="73">
        <f t="shared" si="35"/>
        <v>78</v>
      </c>
      <c r="C87" s="182">
        <v>89</v>
      </c>
      <c r="D87" s="191">
        <v>46249</v>
      </c>
      <c r="E87" s="190" t="s">
        <v>48</v>
      </c>
      <c r="F87" s="5"/>
      <c r="G87" s="58" t="str">
        <f t="shared" si="16"/>
        <v/>
      </c>
      <c r="H87" s="6"/>
      <c r="I87" s="153" t="s">
        <v>2</v>
      </c>
      <c r="J87" s="207">
        <f t="shared" si="17"/>
        <v>46338</v>
      </c>
      <c r="K87" s="207">
        <f t="shared" si="36"/>
        <v>46338</v>
      </c>
      <c r="L87" s="153" t="s">
        <v>137</v>
      </c>
      <c r="M87" s="254">
        <f>IF(L87=$Y$103,MAX($M$10:M86)+1,0)</f>
        <v>0</v>
      </c>
      <c r="N87" s="261">
        <f>IF(L87=$Y$119,MAX($N$10:N86)+1,0)</f>
        <v>0</v>
      </c>
      <c r="O87" s="224" t="s">
        <v>98</v>
      </c>
      <c r="P87" s="130" t="s">
        <v>90</v>
      </c>
      <c r="Q87" s="135" t="str">
        <f t="shared" si="18"/>
        <v>P</v>
      </c>
      <c r="R87" s="132"/>
      <c r="S87" s="134"/>
      <c r="T87" s="133"/>
      <c r="U87" s="6"/>
      <c r="V87" s="58">
        <f t="shared" si="37"/>
        <v>89</v>
      </c>
      <c r="W87" s="111"/>
      <c r="X87" s="30"/>
      <c r="Y87" s="61"/>
      <c r="Z87" s="61"/>
      <c r="AA87" s="88"/>
      <c r="AB87" s="61"/>
      <c r="AC87" s="87"/>
      <c r="AD87" s="758" t="s">
        <v>151</v>
      </c>
      <c r="AE87" s="758" t="s">
        <v>152</v>
      </c>
      <c r="AF87" s="758" t="s">
        <v>153</v>
      </c>
      <c r="AG87" s="78"/>
      <c r="AH87" s="10"/>
      <c r="AK87" s="10"/>
      <c r="AL87" s="10"/>
      <c r="AM87" s="10"/>
      <c r="AN87" s="200">
        <f t="shared" si="31"/>
        <v>46289</v>
      </c>
      <c r="AO87" s="196">
        <f t="shared" si="38"/>
        <v>46289</v>
      </c>
      <c r="AP87" s="33" t="str">
        <f t="shared" si="39"/>
        <v>P</v>
      </c>
      <c r="AQ87" s="99" t="str">
        <f t="shared" si="34"/>
        <v>Ref/Lanche</v>
      </c>
      <c r="AR87" s="218">
        <v>46249</v>
      </c>
      <c r="AS87" s="289" t="s">
        <v>74</v>
      </c>
      <c r="AT87" s="163">
        <v>40</v>
      </c>
      <c r="AU87" s="48"/>
      <c r="AV87" s="5"/>
      <c r="AW87" s="5"/>
      <c r="AX87" s="5"/>
      <c r="AY87" s="3"/>
      <c r="AZ87" s="5"/>
      <c r="BA87" s="5"/>
      <c r="BB87" s="5"/>
      <c r="BT87" s="3"/>
    </row>
    <row r="88" spans="1:72" s="18" customFormat="1" ht="15" customHeight="1">
      <c r="A88" s="54">
        <f t="shared" ref="A88:A119" si="40">IF(B87&lt;&gt;"",1,"")</f>
        <v>1</v>
      </c>
      <c r="B88" s="73">
        <f t="shared" si="35"/>
        <v>79</v>
      </c>
      <c r="C88" s="182">
        <v>500</v>
      </c>
      <c r="D88" s="191">
        <v>46276</v>
      </c>
      <c r="E88" s="185" t="s">
        <v>42</v>
      </c>
      <c r="F88" s="5"/>
      <c r="G88" s="58" t="str">
        <f t="shared" si="16"/>
        <v/>
      </c>
      <c r="H88" s="6"/>
      <c r="I88" s="130" t="s">
        <v>2</v>
      </c>
      <c r="J88" s="207">
        <f t="shared" si="17"/>
        <v>46776</v>
      </c>
      <c r="K88" s="207" t="str">
        <f t="shared" si="36"/>
        <v/>
      </c>
      <c r="L88" s="153" t="s">
        <v>7</v>
      </c>
      <c r="M88" s="254">
        <f>IF(L88=$Y$103,MAX($M$10:M87)+1,0)</f>
        <v>0</v>
      </c>
      <c r="N88" s="261">
        <f>IF(L88=$Y$119,MAX($N$10:N87)+1,0)</f>
        <v>0</v>
      </c>
      <c r="O88" s="224" t="s">
        <v>94</v>
      </c>
      <c r="P88" s="130" t="s">
        <v>118</v>
      </c>
      <c r="Q88" s="135" t="str">
        <f t="shared" si="18"/>
        <v>8</v>
      </c>
      <c r="R88" s="132"/>
      <c r="S88" s="134"/>
      <c r="T88" s="133"/>
      <c r="U88" s="6"/>
      <c r="V88" s="58">
        <f t="shared" si="37"/>
        <v>500</v>
      </c>
      <c r="W88" s="10"/>
      <c r="X88" s="30"/>
      <c r="Y88" s="61"/>
      <c r="Z88" s="61"/>
      <c r="AA88" s="88"/>
      <c r="AB88" s="61"/>
      <c r="AC88" s="87"/>
      <c r="AD88" s="758"/>
      <c r="AE88" s="758"/>
      <c r="AF88" s="758"/>
      <c r="AG88" s="41"/>
      <c r="AH88" s="10"/>
      <c r="AK88" s="10"/>
      <c r="AL88" s="10"/>
      <c r="AM88" s="10"/>
      <c r="AN88" s="200">
        <f t="shared" si="31"/>
        <v>46266.99</v>
      </c>
      <c r="AO88" s="196">
        <f t="shared" si="38"/>
        <v>46266.99</v>
      </c>
      <c r="AP88" s="33" t="str">
        <f t="shared" si="39"/>
        <v>P</v>
      </c>
      <c r="AQ88" s="99" t="str">
        <f t="shared" si="34"/>
        <v>Moto</v>
      </c>
      <c r="AR88" s="218">
        <v>46248</v>
      </c>
      <c r="AS88" s="289" t="s">
        <v>196</v>
      </c>
      <c r="AT88" s="163">
        <v>18.989999999999998</v>
      </c>
      <c r="AU88" s="48"/>
      <c r="AV88" s="5"/>
      <c r="AW88" s="5"/>
      <c r="AX88" s="5"/>
      <c r="AY88" s="3"/>
      <c r="AZ88" s="5"/>
      <c r="BA88" s="5"/>
      <c r="BB88" s="5"/>
      <c r="BT88" s="3"/>
    </row>
    <row r="89" spans="1:72" s="18" customFormat="1" ht="15" customHeight="1">
      <c r="A89" s="54">
        <f t="shared" si="40"/>
        <v>1</v>
      </c>
      <c r="B89" s="73">
        <f t="shared" si="35"/>
        <v>80</v>
      </c>
      <c r="C89" s="182">
        <v>84.35</v>
      </c>
      <c r="D89" s="191">
        <v>46267</v>
      </c>
      <c r="E89" s="190" t="s">
        <v>226</v>
      </c>
      <c r="F89" s="5"/>
      <c r="G89" s="58" t="str">
        <f t="shared" si="16"/>
        <v/>
      </c>
      <c r="H89" s="6"/>
      <c r="I89" s="130" t="s">
        <v>2</v>
      </c>
      <c r="J89" s="207">
        <f>C89+D89</f>
        <v>46351.35</v>
      </c>
      <c r="K89" s="207">
        <f t="shared" si="36"/>
        <v>46351.35</v>
      </c>
      <c r="L89" s="153" t="s">
        <v>7</v>
      </c>
      <c r="M89" s="254">
        <f>IF(L89=$Y$103,MAX($M$10:M88)+1,0)</f>
        <v>0</v>
      </c>
      <c r="N89" s="261">
        <f>IF(L89=$Y$119,MAX($N$10:N88)+1,0)</f>
        <v>0</v>
      </c>
      <c r="O89" s="224" t="s">
        <v>94</v>
      </c>
      <c r="P89" s="130" t="s">
        <v>8</v>
      </c>
      <c r="Q89" s="135" t="str">
        <f t="shared" si="18"/>
        <v>P</v>
      </c>
      <c r="R89" s="132">
        <v>1</v>
      </c>
      <c r="S89" s="134" t="s">
        <v>22</v>
      </c>
      <c r="T89" s="133">
        <v>9</v>
      </c>
      <c r="U89" s="6"/>
      <c r="V89" s="58">
        <f t="shared" si="37"/>
        <v>84.35</v>
      </c>
      <c r="W89" s="10"/>
      <c r="X89" s="30"/>
      <c r="Y89" s="61"/>
      <c r="Z89" s="61"/>
      <c r="AA89" s="88"/>
      <c r="AB89" s="61"/>
      <c r="AC89" s="87"/>
      <c r="AD89" s="757">
        <f>SUMIFS(C10:C199,O10:O199,"J")-AD85</f>
        <v>532.33999999999992</v>
      </c>
      <c r="AE89" s="757">
        <f>SUMIFS(C10:C199,O10:O199,"F")-AE85</f>
        <v>268.34000000000015</v>
      </c>
      <c r="AF89" s="757">
        <f>SUM(AF60:AF78)</f>
        <v>9455.4600000000009</v>
      </c>
      <c r="AG89" s="78"/>
      <c r="AH89" s="10"/>
      <c r="AK89" s="10"/>
      <c r="AL89" s="10"/>
      <c r="AM89" s="10"/>
      <c r="AN89" s="200">
        <f t="shared" si="31"/>
        <v>46316.75</v>
      </c>
      <c r="AO89" s="196">
        <f t="shared" si="38"/>
        <v>46316.75</v>
      </c>
      <c r="AP89" s="33" t="str">
        <f t="shared" si="39"/>
        <v>P</v>
      </c>
      <c r="AQ89" s="99" t="str">
        <f t="shared" si="34"/>
        <v>Moto</v>
      </c>
      <c r="AR89" s="218">
        <v>46248</v>
      </c>
      <c r="AS89" s="289" t="s">
        <v>197</v>
      </c>
      <c r="AT89" s="163">
        <v>68.75</v>
      </c>
      <c r="AU89" s="48"/>
      <c r="AV89" s="5"/>
      <c r="AW89" s="5"/>
      <c r="AX89" s="5"/>
      <c r="AY89" s="3"/>
      <c r="AZ89" s="5"/>
      <c r="BA89" s="5"/>
      <c r="BB89" s="5"/>
      <c r="BT89" s="3"/>
    </row>
    <row r="90" spans="1:72" s="18" customFormat="1" ht="15" customHeight="1">
      <c r="A90" s="54">
        <f t="shared" si="40"/>
        <v>1</v>
      </c>
      <c r="B90" s="73">
        <f t="shared" si="35"/>
        <v>81</v>
      </c>
      <c r="C90" s="182">
        <v>43</v>
      </c>
      <c r="D90" s="191">
        <v>46256</v>
      </c>
      <c r="E90" s="185" t="s">
        <v>54</v>
      </c>
      <c r="F90" s="5"/>
      <c r="G90" s="58" t="str">
        <f t="shared" si="16"/>
        <v/>
      </c>
      <c r="H90" s="6"/>
      <c r="I90" s="130" t="s">
        <v>2</v>
      </c>
      <c r="J90" s="207">
        <f t="shared" si="17"/>
        <v>46299</v>
      </c>
      <c r="K90" s="207">
        <f t="shared" si="36"/>
        <v>46299</v>
      </c>
      <c r="L90" s="153" t="s">
        <v>137</v>
      </c>
      <c r="M90" s="254">
        <f>IF(L90=$Y$103,MAX($M$10:M89)+1,0)</f>
        <v>0</v>
      </c>
      <c r="N90" s="261">
        <f>IF(L90=$Y$119,MAX($N$10:N89)+1,0)</f>
        <v>0</v>
      </c>
      <c r="O90" s="224" t="s">
        <v>98</v>
      </c>
      <c r="P90" s="130" t="s">
        <v>8</v>
      </c>
      <c r="Q90" s="135" t="str">
        <f t="shared" si="18"/>
        <v>P</v>
      </c>
      <c r="R90" s="132"/>
      <c r="S90" s="134"/>
      <c r="T90" s="133"/>
      <c r="U90" s="6"/>
      <c r="V90" s="58">
        <f t="shared" si="37"/>
        <v>43</v>
      </c>
      <c r="W90" s="10"/>
      <c r="X90" s="30"/>
      <c r="Y90" s="300"/>
      <c r="Z90" s="61"/>
      <c r="AA90" s="88"/>
      <c r="AB90" s="61"/>
      <c r="AC90" s="87"/>
      <c r="AD90" s="757"/>
      <c r="AE90" s="757"/>
      <c r="AF90" s="757"/>
      <c r="AG90" s="78"/>
      <c r="AH90" s="10"/>
      <c r="AK90" s="10"/>
      <c r="AL90" s="10"/>
      <c r="AM90" s="10"/>
      <c r="AN90" s="200">
        <f t="shared" si="31"/>
        <v>46274.29</v>
      </c>
      <c r="AO90" s="196">
        <f t="shared" si="38"/>
        <v>46274.29</v>
      </c>
      <c r="AP90" s="33" t="str">
        <f t="shared" si="39"/>
        <v>P</v>
      </c>
      <c r="AQ90" s="99" t="str">
        <f t="shared" si="34"/>
        <v>Moto</v>
      </c>
      <c r="AR90" s="218">
        <v>46248</v>
      </c>
      <c r="AS90" s="289" t="s">
        <v>198</v>
      </c>
      <c r="AT90" s="163">
        <v>26.29</v>
      </c>
      <c r="AU90" s="48"/>
      <c r="AV90" s="5"/>
      <c r="AW90" s="5"/>
      <c r="AX90" s="5"/>
      <c r="AY90" s="3"/>
      <c r="AZ90" s="5"/>
      <c r="BA90" s="5"/>
      <c r="BB90" s="5"/>
      <c r="BT90" s="3"/>
    </row>
    <row r="91" spans="1:72" s="18" customFormat="1" ht="15" customHeight="1">
      <c r="A91" s="54">
        <f t="shared" si="40"/>
        <v>1</v>
      </c>
      <c r="B91" s="73">
        <f t="shared" si="35"/>
        <v>82</v>
      </c>
      <c r="C91" s="182">
        <v>76.680000000000007</v>
      </c>
      <c r="D91" s="191">
        <v>46262</v>
      </c>
      <c r="E91" s="185" t="s">
        <v>171</v>
      </c>
      <c r="F91" s="5"/>
      <c r="G91" s="58" t="str">
        <f t="shared" si="16"/>
        <v/>
      </c>
      <c r="H91" s="6"/>
      <c r="I91" s="130" t="s">
        <v>2</v>
      </c>
      <c r="J91" s="207">
        <f t="shared" si="17"/>
        <v>46338.68</v>
      </c>
      <c r="K91" s="207">
        <f t="shared" si="36"/>
        <v>46338.68</v>
      </c>
      <c r="L91" s="153" t="s">
        <v>145</v>
      </c>
      <c r="M91" s="254">
        <f>IF(L91=$Y$103,MAX($M$10:M90)+1,0)</f>
        <v>0</v>
      </c>
      <c r="N91" s="261">
        <f>IF(L91=$Y$119,MAX($N$10:N90)+1,0)</f>
        <v>0</v>
      </c>
      <c r="O91" s="224" t="s">
        <v>94</v>
      </c>
      <c r="P91" s="130" t="s">
        <v>8</v>
      </c>
      <c r="Q91" s="135" t="str">
        <f t="shared" si="18"/>
        <v>P</v>
      </c>
      <c r="R91" s="132"/>
      <c r="S91" s="134"/>
      <c r="T91" s="133"/>
      <c r="U91" s="6"/>
      <c r="V91" s="58">
        <f t="shared" si="37"/>
        <v>76.680000000000007</v>
      </c>
      <c r="W91" s="10"/>
      <c r="X91" s="30"/>
      <c r="Y91" s="61"/>
      <c r="Z91" s="61"/>
      <c r="AA91" s="88"/>
      <c r="AB91" s="61"/>
      <c r="AC91" s="87"/>
      <c r="AD91" s="758" t="s">
        <v>154</v>
      </c>
      <c r="AE91" s="758" t="s">
        <v>155</v>
      </c>
      <c r="AF91" s="758" t="s">
        <v>156</v>
      </c>
      <c r="AG91" s="78"/>
      <c r="AH91" s="10"/>
      <c r="AK91" s="10"/>
      <c r="AL91" s="10"/>
      <c r="AM91" s="10"/>
      <c r="AN91" s="200">
        <f t="shared" si="31"/>
        <v>46347</v>
      </c>
      <c r="AO91" s="196">
        <f t="shared" si="38"/>
        <v>46347</v>
      </c>
      <c r="AP91" s="33" t="str">
        <f t="shared" si="39"/>
        <v>P</v>
      </c>
      <c r="AQ91" s="99" t="str">
        <f t="shared" si="34"/>
        <v>Ref/Lanche</v>
      </c>
      <c r="AR91" s="218">
        <v>46247</v>
      </c>
      <c r="AS91" s="289" t="s">
        <v>199</v>
      </c>
      <c r="AT91" s="163">
        <v>100</v>
      </c>
      <c r="AU91" s="48"/>
      <c r="AV91" s="5"/>
      <c r="AW91" s="5"/>
      <c r="AX91" s="5"/>
      <c r="AY91" s="3"/>
      <c r="AZ91" s="5"/>
      <c r="BA91" s="5"/>
      <c r="BB91" s="5"/>
      <c r="BT91" s="3"/>
    </row>
    <row r="92" spans="1:72" s="18" customFormat="1" ht="15" customHeight="1">
      <c r="A92" s="54">
        <f t="shared" si="40"/>
        <v>1</v>
      </c>
      <c r="B92" s="73">
        <f t="shared" si="35"/>
        <v>83</v>
      </c>
      <c r="C92" s="182">
        <v>600.57000000000005</v>
      </c>
      <c r="D92" s="191">
        <v>46261</v>
      </c>
      <c r="E92" s="185" t="s">
        <v>27</v>
      </c>
      <c r="F92" s="5"/>
      <c r="G92" s="58" t="str">
        <f t="shared" si="16"/>
        <v/>
      </c>
      <c r="H92" s="6"/>
      <c r="I92" s="130" t="s">
        <v>2</v>
      </c>
      <c r="J92" s="207">
        <f t="shared" si="17"/>
        <v>46861.57</v>
      </c>
      <c r="K92" s="207">
        <f t="shared" si="36"/>
        <v>46861.57</v>
      </c>
      <c r="L92" s="153" t="s">
        <v>27</v>
      </c>
      <c r="M92" s="254">
        <f>IF(L92=$Y$103,MAX($M$10:M91)+1,0)</f>
        <v>0</v>
      </c>
      <c r="N92" s="261">
        <f>IF(L92=$Y$119,MAX($N$10:N91)+1,0)</f>
        <v>0</v>
      </c>
      <c r="O92" s="224" t="s">
        <v>94</v>
      </c>
      <c r="P92" s="130" t="s">
        <v>8</v>
      </c>
      <c r="Q92" s="135" t="str">
        <f t="shared" si="18"/>
        <v>P</v>
      </c>
      <c r="R92" s="132"/>
      <c r="S92" s="134"/>
      <c r="T92" s="133"/>
      <c r="U92" s="6"/>
      <c r="V92" s="58">
        <f t="shared" si="37"/>
        <v>600.57000000000005</v>
      </c>
      <c r="W92" s="10"/>
      <c r="X92" s="30"/>
      <c r="Y92" s="61"/>
      <c r="Z92" s="61"/>
      <c r="AA92" s="88"/>
      <c r="AB92" s="61"/>
      <c r="AC92" s="87"/>
      <c r="AD92" s="758"/>
      <c r="AE92" s="758"/>
      <c r="AF92" s="758"/>
      <c r="AG92" s="78"/>
      <c r="AH92" s="10"/>
      <c r="AK92" s="10"/>
      <c r="AL92" s="10"/>
      <c r="AM92" s="10"/>
      <c r="AN92" s="200">
        <f t="shared" si="31"/>
        <v>46276.36</v>
      </c>
      <c r="AO92" s="196">
        <f t="shared" si="38"/>
        <v>46276.36</v>
      </c>
      <c r="AP92" s="33" t="str">
        <f t="shared" si="39"/>
        <v>P</v>
      </c>
      <c r="AQ92" s="99" t="str">
        <f t="shared" si="34"/>
        <v>Flavia</v>
      </c>
      <c r="AR92" s="218">
        <v>46246</v>
      </c>
      <c r="AS92" s="289" t="s">
        <v>200</v>
      </c>
      <c r="AT92" s="163">
        <v>30.36</v>
      </c>
      <c r="AU92" s="48"/>
      <c r="AV92" s="5"/>
      <c r="AW92" s="5"/>
      <c r="AX92" s="5"/>
      <c r="AY92" s="3"/>
      <c r="AZ92" s="5"/>
      <c r="BA92" s="5"/>
      <c r="BB92" s="5"/>
      <c r="BT92" s="3"/>
    </row>
    <row r="93" spans="1:72" s="18" customFormat="1" ht="15" customHeight="1">
      <c r="A93" s="54">
        <f t="shared" si="40"/>
        <v>1</v>
      </c>
      <c r="B93" s="73">
        <f t="shared" si="35"/>
        <v>84</v>
      </c>
      <c r="C93" s="182">
        <v>40.35</v>
      </c>
      <c r="D93" s="191">
        <v>46259</v>
      </c>
      <c r="E93" s="185" t="s">
        <v>228</v>
      </c>
      <c r="F93" s="5"/>
      <c r="G93" s="58" t="str">
        <f t="shared" si="16"/>
        <v/>
      </c>
      <c r="H93" s="6"/>
      <c r="I93" s="153" t="s">
        <v>2</v>
      </c>
      <c r="J93" s="207">
        <f t="shared" si="17"/>
        <v>46299.35</v>
      </c>
      <c r="K93" s="207">
        <f t="shared" si="36"/>
        <v>46299.35</v>
      </c>
      <c r="L93" s="153" t="s">
        <v>145</v>
      </c>
      <c r="M93" s="254">
        <f>IF(L93=$Y$103,MAX($M$10:M92)+1,0)</f>
        <v>0</v>
      </c>
      <c r="N93" s="261">
        <f>IF(L93=$Y$119,MAX($N$10:N92)+1,0)</f>
        <v>0</v>
      </c>
      <c r="O93" s="224" t="s">
        <v>89</v>
      </c>
      <c r="P93" s="130" t="s">
        <v>90</v>
      </c>
      <c r="Q93" s="135" t="str">
        <f t="shared" si="18"/>
        <v>P</v>
      </c>
      <c r="R93" s="132"/>
      <c r="S93" s="134"/>
      <c r="T93" s="133"/>
      <c r="U93" s="6"/>
      <c r="V93" s="58">
        <f t="shared" si="37"/>
        <v>40.35</v>
      </c>
      <c r="W93" s="10"/>
      <c r="X93" s="30"/>
      <c r="Y93" s="61"/>
      <c r="Z93" s="61"/>
      <c r="AA93" s="238"/>
      <c r="AB93" s="61"/>
      <c r="AC93" s="87"/>
      <c r="AD93" s="756" t="str">
        <f>IF(AC77="R$ 0,00","",AC77)</f>
        <v/>
      </c>
      <c r="AE93" s="756" t="str">
        <f>IF(AC78="R$ 0,00","",AC78)</f>
        <v/>
      </c>
      <c r="AF93" s="756">
        <f>SUM(AC67:AC76)</f>
        <v>583.63</v>
      </c>
      <c r="AG93" s="78"/>
      <c r="AH93" s="10"/>
      <c r="AK93" s="10"/>
      <c r="AL93" s="10"/>
      <c r="AM93" s="10"/>
      <c r="AN93" s="200">
        <f t="shared" si="31"/>
        <v>46261</v>
      </c>
      <c r="AO93" s="196">
        <f t="shared" si="38"/>
        <v>46261</v>
      </c>
      <c r="AP93" s="33" t="str">
        <f t="shared" si="39"/>
        <v>P</v>
      </c>
      <c r="AQ93" s="99" t="str">
        <f t="shared" si="34"/>
        <v>Uber</v>
      </c>
      <c r="AR93" s="218">
        <v>46246</v>
      </c>
      <c r="AS93" s="289" t="s">
        <v>63</v>
      </c>
      <c r="AT93" s="163">
        <v>15</v>
      </c>
      <c r="AU93" s="48"/>
      <c r="AV93" s="5"/>
      <c r="AW93" s="5"/>
      <c r="AX93" s="5"/>
      <c r="AY93" s="3"/>
      <c r="AZ93" s="5"/>
      <c r="BA93" s="5"/>
      <c r="BB93" s="5"/>
      <c r="BT93" s="3"/>
    </row>
    <row r="94" spans="1:72" s="18" customFormat="1" ht="15" customHeight="1">
      <c r="A94" s="54">
        <f t="shared" si="40"/>
        <v>1</v>
      </c>
      <c r="B94" s="73">
        <f t="shared" si="35"/>
        <v>85</v>
      </c>
      <c r="C94" s="182">
        <v>43.11</v>
      </c>
      <c r="D94" s="191">
        <v>46264</v>
      </c>
      <c r="E94" s="185" t="s">
        <v>53</v>
      </c>
      <c r="F94" s="5"/>
      <c r="G94" s="58" t="str">
        <f t="shared" si="16"/>
        <v/>
      </c>
      <c r="H94" s="6"/>
      <c r="I94" s="130" t="s">
        <v>2</v>
      </c>
      <c r="J94" s="207">
        <f t="shared" si="17"/>
        <v>46307.11</v>
      </c>
      <c r="K94" s="207">
        <f t="shared" si="36"/>
        <v>46307.11</v>
      </c>
      <c r="L94" s="153" t="s">
        <v>27</v>
      </c>
      <c r="M94" s="254">
        <f>IF(L94=$Y$103,MAX($M$10:M93)+1,0)</f>
        <v>0</v>
      </c>
      <c r="N94" s="261">
        <f>IF(L94=$Y$119,MAX($N$10:N93)+1,0)</f>
        <v>0</v>
      </c>
      <c r="O94" s="224" t="s">
        <v>94</v>
      </c>
      <c r="P94" s="130" t="s">
        <v>8</v>
      </c>
      <c r="Q94" s="135" t="str">
        <f t="shared" si="18"/>
        <v>P</v>
      </c>
      <c r="R94" s="132"/>
      <c r="S94" s="134"/>
      <c r="T94" s="133"/>
      <c r="U94" s="6"/>
      <c r="V94" s="58">
        <f t="shared" si="37"/>
        <v>43.11</v>
      </c>
      <c r="W94" s="10"/>
      <c r="X94" s="30"/>
      <c r="Y94" s="61"/>
      <c r="Z94" s="61"/>
      <c r="AA94" s="88"/>
      <c r="AB94" s="61"/>
      <c r="AC94" s="87"/>
      <c r="AD94" s="756"/>
      <c r="AE94" s="756"/>
      <c r="AF94" s="756"/>
      <c r="AG94" s="78"/>
      <c r="AH94" s="10"/>
      <c r="AK94" s="10"/>
      <c r="AL94" s="10"/>
      <c r="AM94" s="10"/>
      <c r="AN94" s="200">
        <f t="shared" si="31"/>
        <v>46312.639999999999</v>
      </c>
      <c r="AO94" s="196">
        <f t="shared" si="38"/>
        <v>46312.639999999999</v>
      </c>
      <c r="AP94" s="33" t="str">
        <f t="shared" si="39"/>
        <v>P</v>
      </c>
      <c r="AQ94" s="99" t="str">
        <f t="shared" si="34"/>
        <v>Flavia</v>
      </c>
      <c r="AR94" s="218">
        <v>46246</v>
      </c>
      <c r="AS94" s="289" t="s">
        <v>201</v>
      </c>
      <c r="AT94" s="163">
        <v>66.64</v>
      </c>
      <c r="AU94" s="48"/>
      <c r="AV94" s="57"/>
      <c r="AW94" s="5"/>
      <c r="AX94" s="5"/>
      <c r="AY94" s="3"/>
      <c r="AZ94" s="5"/>
      <c r="BA94" s="5"/>
      <c r="BB94" s="5"/>
      <c r="BT94" s="3"/>
    </row>
    <row r="95" spans="1:72" s="18" customFormat="1" ht="15" customHeight="1">
      <c r="A95" s="54">
        <f t="shared" si="40"/>
        <v>1</v>
      </c>
      <c r="B95" s="73">
        <f t="shared" si="35"/>
        <v>86</v>
      </c>
      <c r="C95" s="182">
        <v>18</v>
      </c>
      <c r="D95" s="191">
        <v>46263</v>
      </c>
      <c r="E95" s="185" t="s">
        <v>9</v>
      </c>
      <c r="F95" s="5"/>
      <c r="G95" s="58" t="str">
        <f t="shared" si="16"/>
        <v/>
      </c>
      <c r="H95" s="6"/>
      <c r="I95" s="130" t="s">
        <v>2</v>
      </c>
      <c r="J95" s="207">
        <f t="shared" si="17"/>
        <v>46281</v>
      </c>
      <c r="K95" s="207">
        <f t="shared" si="36"/>
        <v>46281</v>
      </c>
      <c r="L95" s="153" t="s">
        <v>9</v>
      </c>
      <c r="M95" s="254">
        <f>IF(L95=$Y$103,MAX($M$10:M94)+1,0)</f>
        <v>0</v>
      </c>
      <c r="N95" s="261">
        <f>IF(L95=$Y$119,MAX($N$10:N94)+1,0)</f>
        <v>0</v>
      </c>
      <c r="O95" s="224" t="s">
        <v>94</v>
      </c>
      <c r="P95" s="130" t="s">
        <v>8</v>
      </c>
      <c r="Q95" s="135" t="str">
        <f t="shared" si="18"/>
        <v>P</v>
      </c>
      <c r="R95" s="132"/>
      <c r="S95" s="134"/>
      <c r="T95" s="133"/>
      <c r="U95" s="6"/>
      <c r="V95" s="58">
        <f t="shared" si="37"/>
        <v>18</v>
      </c>
      <c r="W95" s="10"/>
      <c r="X95" s="30"/>
      <c r="Y95" s="61"/>
      <c r="Z95" s="61"/>
      <c r="AA95" s="88"/>
      <c r="AB95" s="61"/>
      <c r="AC95" s="87"/>
      <c r="AD95" s="750">
        <f>SUM(AD85,AD89,AD93)</f>
        <v>1536.48</v>
      </c>
      <c r="AE95" s="752">
        <f>SUM(AE85,AE89,AE93)</f>
        <v>1369.9</v>
      </c>
      <c r="AF95" s="754">
        <f>SUM(AF85,AF89,AF93)</f>
        <v>14051.84</v>
      </c>
      <c r="AG95" s="78"/>
      <c r="AH95" s="10"/>
      <c r="AK95" s="10"/>
      <c r="AL95" s="10"/>
      <c r="AM95" s="10"/>
      <c r="AN95" s="200">
        <f t="shared" si="31"/>
        <v>46309</v>
      </c>
      <c r="AO95" s="196">
        <f t="shared" si="38"/>
        <v>46309</v>
      </c>
      <c r="AP95" s="33" t="str">
        <f t="shared" si="39"/>
        <v>P</v>
      </c>
      <c r="AQ95" s="99" t="str">
        <f t="shared" si="34"/>
        <v>Flavia</v>
      </c>
      <c r="AR95" s="218">
        <v>46246</v>
      </c>
      <c r="AS95" s="289" t="s">
        <v>202</v>
      </c>
      <c r="AT95" s="163">
        <v>63</v>
      </c>
      <c r="AU95" s="48"/>
      <c r="AV95" s="57"/>
      <c r="AW95" s="5"/>
      <c r="AX95" s="5"/>
      <c r="AY95" s="3"/>
      <c r="AZ95" s="5"/>
      <c r="BA95" s="5"/>
      <c r="BB95" s="5"/>
      <c r="BT95" s="3"/>
    </row>
    <row r="96" spans="1:72" s="57" customFormat="1" ht="15" customHeight="1">
      <c r="A96" s="54">
        <f t="shared" si="40"/>
        <v>1</v>
      </c>
      <c r="B96" s="73">
        <f t="shared" si="35"/>
        <v>87</v>
      </c>
      <c r="C96" s="182">
        <v>19</v>
      </c>
      <c r="D96" s="191">
        <v>46263</v>
      </c>
      <c r="E96" s="185" t="s">
        <v>9</v>
      </c>
      <c r="F96" s="5"/>
      <c r="G96" s="58" t="str">
        <f t="shared" si="16"/>
        <v/>
      </c>
      <c r="H96" s="6"/>
      <c r="I96" s="130" t="s">
        <v>2</v>
      </c>
      <c r="J96" s="207">
        <f t="shared" si="17"/>
        <v>46282</v>
      </c>
      <c r="K96" s="207">
        <f t="shared" si="36"/>
        <v>46282</v>
      </c>
      <c r="L96" s="153" t="s">
        <v>9</v>
      </c>
      <c r="M96" s="254">
        <f>IF(L96=$Y$103,MAX($M$10:M95)+1,0)</f>
        <v>0</v>
      </c>
      <c r="N96" s="261">
        <f>IF(L96=$Y$119,MAX($N$10:N95)+1,0)</f>
        <v>0</v>
      </c>
      <c r="O96" s="224" t="s">
        <v>94</v>
      </c>
      <c r="P96" s="130" t="s">
        <v>8</v>
      </c>
      <c r="Q96" s="135" t="str">
        <f t="shared" si="18"/>
        <v>P</v>
      </c>
      <c r="R96" s="132"/>
      <c r="S96" s="134"/>
      <c r="T96" s="133"/>
      <c r="U96" s="6"/>
      <c r="V96" s="58">
        <f t="shared" si="37"/>
        <v>19</v>
      </c>
      <c r="W96" s="10"/>
      <c r="X96" s="30"/>
      <c r="Y96" s="61"/>
      <c r="Z96" s="61"/>
      <c r="AA96" s="88"/>
      <c r="AB96" s="61"/>
      <c r="AC96" s="87"/>
      <c r="AD96" s="751"/>
      <c r="AE96" s="753"/>
      <c r="AF96" s="755"/>
      <c r="AG96" s="78"/>
      <c r="AH96" s="10"/>
      <c r="AJ96" s="18"/>
      <c r="AK96" s="10"/>
      <c r="AL96" s="10"/>
      <c r="AM96" s="10"/>
      <c r="AN96" s="200">
        <f t="shared" si="31"/>
        <v>46382.47</v>
      </c>
      <c r="AO96" s="196">
        <f t="shared" si="38"/>
        <v>46382.47</v>
      </c>
      <c r="AP96" s="33" t="str">
        <f t="shared" si="39"/>
        <v>P</v>
      </c>
      <c r="AQ96" s="99" t="str">
        <f t="shared" si="34"/>
        <v>Flavia</v>
      </c>
      <c r="AR96" s="218">
        <v>46245</v>
      </c>
      <c r="AS96" s="289" t="s">
        <v>203</v>
      </c>
      <c r="AT96" s="163">
        <v>137.47</v>
      </c>
      <c r="AU96" s="48"/>
      <c r="AV96" s="5"/>
      <c r="AW96" s="5"/>
      <c r="AX96" s="5"/>
      <c r="AY96" s="3"/>
      <c r="AZ96" s="5"/>
      <c r="BA96" s="5"/>
      <c r="BB96" s="5"/>
      <c r="BT96" s="6"/>
    </row>
    <row r="97" spans="1:72" s="57" customFormat="1" ht="15" customHeight="1">
      <c r="A97" s="54">
        <f t="shared" si="40"/>
        <v>1</v>
      </c>
      <c r="B97" s="73">
        <f t="shared" si="35"/>
        <v>88</v>
      </c>
      <c r="C97" s="182">
        <v>68.84</v>
      </c>
      <c r="D97" s="191">
        <v>46267</v>
      </c>
      <c r="E97" s="190" t="s">
        <v>230</v>
      </c>
      <c r="F97" s="5"/>
      <c r="G97" s="58" t="str">
        <f>IF(OR(C97="",I97="Pago"),"",C97)</f>
        <v/>
      </c>
      <c r="H97" s="6"/>
      <c r="I97" s="130" t="s">
        <v>2</v>
      </c>
      <c r="J97" s="207">
        <f t="shared" si="17"/>
        <v>46335.839999999997</v>
      </c>
      <c r="K97" s="207">
        <f t="shared" si="36"/>
        <v>46335.839999999997</v>
      </c>
      <c r="L97" s="153" t="s">
        <v>10</v>
      </c>
      <c r="M97" s="254">
        <f>IF(L97=$Y$103,MAX($M$10:M96)+1,0)</f>
        <v>8</v>
      </c>
      <c r="N97" s="261">
        <f>IF(L97=$Y$119,MAX($N$10:N96)+1,0)</f>
        <v>0</v>
      </c>
      <c r="O97" s="224" t="s">
        <v>98</v>
      </c>
      <c r="P97" s="130" t="s">
        <v>8</v>
      </c>
      <c r="Q97" s="135" t="str">
        <f t="shared" ref="Q97:Q108" si="41">IF(P97="AV","8",IF(AND(J97=0,K97=0),"",IF(J97=K97,"P",IF(J97&lt;&gt;K97,"O"))))</f>
        <v>P</v>
      </c>
      <c r="R97" s="132">
        <v>1</v>
      </c>
      <c r="S97" s="134" t="s">
        <v>22</v>
      </c>
      <c r="T97" s="133">
        <v>3</v>
      </c>
      <c r="U97" s="6"/>
      <c r="V97" s="58">
        <f t="shared" si="37"/>
        <v>68.84</v>
      </c>
      <c r="W97" s="10"/>
      <c r="X97" s="30"/>
      <c r="Y97" s="61"/>
      <c r="Z97" s="61"/>
      <c r="AA97" s="88"/>
      <c r="AB97" s="61"/>
      <c r="AC97" s="87"/>
      <c r="AD97" s="723" t="s">
        <v>157</v>
      </c>
      <c r="AE97" s="723" t="s">
        <v>158</v>
      </c>
      <c r="AF97" s="586" t="s">
        <v>38</v>
      </c>
      <c r="AG97" s="78"/>
      <c r="AH97" s="10"/>
      <c r="AJ97" s="18"/>
      <c r="AK97" s="10"/>
      <c r="AL97" s="10"/>
      <c r="AM97" s="10"/>
      <c r="AN97" s="200">
        <f t="shared" si="31"/>
        <v>46485.59</v>
      </c>
      <c r="AO97" s="196">
        <f t="shared" si="38"/>
        <v>46485.59</v>
      </c>
      <c r="AP97" s="33" t="str">
        <f t="shared" si="39"/>
        <v>P</v>
      </c>
      <c r="AQ97" s="99" t="str">
        <f t="shared" si="34"/>
        <v>Flavia</v>
      </c>
      <c r="AR97" s="218">
        <v>46245</v>
      </c>
      <c r="AS97" s="289" t="s">
        <v>61</v>
      </c>
      <c r="AT97" s="163">
        <v>240.59</v>
      </c>
      <c r="AU97" s="48"/>
      <c r="AV97" s="5"/>
      <c r="AW97" s="5"/>
      <c r="AX97" s="5"/>
      <c r="AY97" s="3"/>
      <c r="AZ97" s="5"/>
      <c r="BA97" s="5"/>
      <c r="BB97" s="5"/>
      <c r="BT97" s="6"/>
    </row>
    <row r="98" spans="1:72" s="57" customFormat="1" ht="15" customHeight="1">
      <c r="A98" s="54">
        <f t="shared" si="40"/>
        <v>1</v>
      </c>
      <c r="B98" s="73">
        <f t="shared" si="35"/>
        <v>89</v>
      </c>
      <c r="C98" s="182">
        <v>43.99</v>
      </c>
      <c r="D98" s="191">
        <v>46272</v>
      </c>
      <c r="E98" s="185" t="s">
        <v>45</v>
      </c>
      <c r="F98" s="5"/>
      <c r="G98" s="58" t="str">
        <f>IF(OR(C98="",I98="Pago"),"",C98)</f>
        <v/>
      </c>
      <c r="H98" s="6"/>
      <c r="I98" s="130" t="s">
        <v>2</v>
      </c>
      <c r="J98" s="207">
        <f t="shared" ref="J98:J161" si="42">C98+D98</f>
        <v>46315.99</v>
      </c>
      <c r="K98" s="207">
        <f t="shared" si="36"/>
        <v>46315.99</v>
      </c>
      <c r="L98" s="153" t="s">
        <v>145</v>
      </c>
      <c r="M98" s="254">
        <f>IF(L98=$Y$103,MAX($M$10:M97)+1,0)</f>
        <v>0</v>
      </c>
      <c r="N98" s="261">
        <f>IF(L98=$Y$119,MAX($N$10:N97)+1,0)</f>
        <v>0</v>
      </c>
      <c r="O98" s="224" t="s">
        <v>98</v>
      </c>
      <c r="P98" s="130" t="s">
        <v>8</v>
      </c>
      <c r="Q98" s="135" t="str">
        <f t="shared" si="41"/>
        <v>P</v>
      </c>
      <c r="R98" s="132"/>
      <c r="S98" s="134"/>
      <c r="T98" s="133"/>
      <c r="U98" s="6"/>
      <c r="V98" s="58">
        <f t="shared" si="37"/>
        <v>43.99</v>
      </c>
      <c r="W98" s="10"/>
      <c r="X98" s="30"/>
      <c r="Y98" s="61"/>
      <c r="Z98" s="61"/>
      <c r="AA98" s="88"/>
      <c r="AB98" s="61"/>
      <c r="AC98" s="87"/>
      <c r="AD98" s="758"/>
      <c r="AE98" s="758"/>
      <c r="AF98" s="768"/>
      <c r="AG98" s="78"/>
      <c r="AH98" s="10"/>
      <c r="AJ98" s="18"/>
      <c r="AK98" s="10"/>
      <c r="AL98" s="10"/>
      <c r="AM98" s="10"/>
      <c r="AN98" s="200">
        <f t="shared" si="31"/>
        <v>46285</v>
      </c>
      <c r="AO98" s="196">
        <f t="shared" si="38"/>
        <v>46285</v>
      </c>
      <c r="AP98" s="33" t="str">
        <f t="shared" si="39"/>
        <v>P</v>
      </c>
      <c r="AQ98" s="99" t="str">
        <f t="shared" si="34"/>
        <v>Moto</v>
      </c>
      <c r="AR98" s="218">
        <v>46245</v>
      </c>
      <c r="AS98" s="289" t="s">
        <v>176</v>
      </c>
      <c r="AT98" s="163">
        <v>40</v>
      </c>
      <c r="AU98" s="48"/>
      <c r="AV98" s="5"/>
      <c r="AW98" s="5"/>
      <c r="AX98" s="5"/>
      <c r="AY98" s="3"/>
      <c r="AZ98" s="5"/>
      <c r="BA98" s="5"/>
      <c r="BB98" s="5"/>
      <c r="BT98" s="6"/>
    </row>
    <row r="99" spans="1:72" s="57" customFormat="1" ht="15" customHeight="1">
      <c r="A99" s="54">
        <f t="shared" si="40"/>
        <v>1</v>
      </c>
      <c r="B99" s="73">
        <f t="shared" si="35"/>
        <v>90</v>
      </c>
      <c r="C99" s="182">
        <v>68.69</v>
      </c>
      <c r="D99" s="191">
        <v>46268</v>
      </c>
      <c r="E99" s="185" t="s">
        <v>168</v>
      </c>
      <c r="F99" s="5"/>
      <c r="G99" s="58" t="str">
        <f>IF(OR(C99="",I99="Pago"),"",C99)</f>
        <v/>
      </c>
      <c r="H99" s="6"/>
      <c r="I99" s="130" t="s">
        <v>2</v>
      </c>
      <c r="J99" s="207">
        <f t="shared" si="42"/>
        <v>46336.69</v>
      </c>
      <c r="K99" s="207">
        <f t="shared" si="36"/>
        <v>46336.69</v>
      </c>
      <c r="L99" s="153" t="s">
        <v>145</v>
      </c>
      <c r="M99" s="254">
        <f>IF(L99=$Y$103,MAX($M$10:M98)+1,0)</f>
        <v>0</v>
      </c>
      <c r="N99" s="261">
        <f>IF(L99=$Y$119,MAX($N$10:N98)+1,0)</f>
        <v>0</v>
      </c>
      <c r="O99" s="224" t="s">
        <v>94</v>
      </c>
      <c r="P99" s="130" t="s">
        <v>8</v>
      </c>
      <c r="Q99" s="135" t="str">
        <f t="shared" si="41"/>
        <v>P</v>
      </c>
      <c r="R99" s="132"/>
      <c r="S99" s="134" t="str">
        <f>IF(R99="","","de")</f>
        <v/>
      </c>
      <c r="T99" s="133"/>
      <c r="U99" s="6"/>
      <c r="V99" s="58">
        <f t="shared" si="37"/>
        <v>68.69</v>
      </c>
      <c r="W99" s="10"/>
      <c r="X99" s="30"/>
      <c r="Y99" s="61"/>
      <c r="Z99" s="61"/>
      <c r="AA99" s="88"/>
      <c r="AB99" s="61"/>
      <c r="AC99" s="87"/>
      <c r="AD99" s="769">
        <f>IF(AD85&lt;=500,"",-(500-AD85))</f>
        <v>504.1400000000001</v>
      </c>
      <c r="AE99" s="770">
        <f>IF(AE85&lt;=550,"",-(550-AE85))</f>
        <v>551.55999999999995</v>
      </c>
      <c r="AF99" s="771">
        <f>SUM(AD85:AF86,AD89:AF90,AD93:AF94)</f>
        <v>16958.22</v>
      </c>
      <c r="AG99" s="78"/>
      <c r="AH99" s="10"/>
      <c r="AJ99" s="18"/>
      <c r="AK99" s="10"/>
      <c r="AL99" s="10"/>
      <c r="AM99" s="10"/>
      <c r="AN99" s="200">
        <f t="shared" si="31"/>
        <v>46315.5</v>
      </c>
      <c r="AO99" s="196">
        <f t="shared" si="38"/>
        <v>46315.5</v>
      </c>
      <c r="AP99" s="33" t="str">
        <f t="shared" si="39"/>
        <v>P</v>
      </c>
      <c r="AQ99" s="99" t="str">
        <f t="shared" si="34"/>
        <v>Farmácia</v>
      </c>
      <c r="AR99" s="218">
        <v>46240</v>
      </c>
      <c r="AS99" s="289" t="s">
        <v>55</v>
      </c>
      <c r="AT99" s="163">
        <v>75.5</v>
      </c>
      <c r="AU99" s="48"/>
      <c r="AV99" s="5"/>
      <c r="AW99" s="5"/>
      <c r="AX99" s="5"/>
      <c r="AY99" s="3"/>
      <c r="AZ99" s="5"/>
      <c r="BA99" s="5"/>
      <c r="BB99" s="5"/>
      <c r="BT99" s="6"/>
    </row>
    <row r="100" spans="1:72" ht="15" customHeight="1">
      <c r="A100" s="54">
        <f t="shared" si="40"/>
        <v>1</v>
      </c>
      <c r="B100" s="73">
        <f t="shared" si="35"/>
        <v>91</v>
      </c>
      <c r="C100" s="182">
        <v>50</v>
      </c>
      <c r="D100" s="191">
        <v>46267</v>
      </c>
      <c r="E100" s="185" t="s">
        <v>232</v>
      </c>
      <c r="G100" s="58" t="str">
        <f>IF(OR(C100="",I100="Pago"),"",C100)</f>
        <v/>
      </c>
      <c r="I100" s="153" t="s">
        <v>2</v>
      </c>
      <c r="J100" s="207">
        <f t="shared" si="42"/>
        <v>46317</v>
      </c>
      <c r="K100" s="207">
        <f t="shared" si="36"/>
        <v>46317</v>
      </c>
      <c r="L100" s="153" t="s">
        <v>7</v>
      </c>
      <c r="M100" s="254">
        <f>IF(L100=$Y$103,MAX($M$10:M99)+1,0)</f>
        <v>0</v>
      </c>
      <c r="N100" s="261">
        <f>IF(L100=$Y$119,MAX($N$10:N99)+1,0)</f>
        <v>0</v>
      </c>
      <c r="O100" s="224" t="s">
        <v>94</v>
      </c>
      <c r="P100" s="130" t="s">
        <v>90</v>
      </c>
      <c r="Q100" s="135" t="str">
        <f t="shared" si="41"/>
        <v>P</v>
      </c>
      <c r="R100" s="132"/>
      <c r="S100" s="134" t="str">
        <f>IF(R100="","","de")</f>
        <v/>
      </c>
      <c r="T100" s="133"/>
      <c r="V100" s="58">
        <f t="shared" si="37"/>
        <v>50</v>
      </c>
      <c r="X100" s="30"/>
      <c r="Y100" s="61"/>
      <c r="Z100" s="61"/>
      <c r="AA100" s="88"/>
      <c r="AB100" s="61"/>
      <c r="AC100" s="87"/>
      <c r="AD100" s="769"/>
      <c r="AE100" s="770"/>
      <c r="AF100" s="772"/>
      <c r="AG100" s="78"/>
      <c r="AJ100" s="18"/>
      <c r="AK100" s="10"/>
      <c r="AL100" s="10"/>
      <c r="AM100" s="10"/>
      <c r="AN100" s="200">
        <f t="shared" si="31"/>
        <v>46350.34</v>
      </c>
      <c r="AO100" s="196">
        <f t="shared" si="38"/>
        <v>46350.34</v>
      </c>
      <c r="AP100" s="33" t="str">
        <f t="shared" si="39"/>
        <v>P</v>
      </c>
      <c r="AQ100" s="99" t="str">
        <f t="shared" si="34"/>
        <v>Extras J</v>
      </c>
      <c r="AR100" s="218">
        <v>46227</v>
      </c>
      <c r="AS100" s="289" t="s">
        <v>204</v>
      </c>
      <c r="AT100" s="163">
        <v>123.34</v>
      </c>
      <c r="AU100" s="48"/>
      <c r="AV100" s="5"/>
      <c r="AW100" s="5"/>
      <c r="AX100" s="5"/>
      <c r="AY100" s="3"/>
      <c r="BQ100" s="5"/>
      <c r="BR100" s="5"/>
    </row>
    <row r="101" spans="1:72" ht="15" customHeight="1">
      <c r="A101" s="54">
        <f t="shared" si="40"/>
        <v>1</v>
      </c>
      <c r="B101" s="73">
        <f t="shared" si="35"/>
        <v>92</v>
      </c>
      <c r="C101" s="182">
        <v>18</v>
      </c>
      <c r="D101" s="191">
        <v>46270</v>
      </c>
      <c r="E101" s="185" t="s">
        <v>233</v>
      </c>
      <c r="G101" s="58" t="str">
        <f>IF(OR(C101="",I101="Pago"),"",C101)</f>
        <v/>
      </c>
      <c r="I101" s="130" t="s">
        <v>2</v>
      </c>
      <c r="J101" s="207">
        <f t="shared" si="42"/>
        <v>46288</v>
      </c>
      <c r="K101" s="207">
        <f t="shared" si="36"/>
        <v>46288</v>
      </c>
      <c r="L101" s="153" t="s">
        <v>9</v>
      </c>
      <c r="M101" s="254">
        <f>IF(L101=$Y$103,MAX($M$10:M100)+1,0)</f>
        <v>0</v>
      </c>
      <c r="N101" s="261">
        <f>IF(L101=$Y$119,MAX($N$10:N100)+1,0)</f>
        <v>0</v>
      </c>
      <c r="O101" s="224" t="s">
        <v>94</v>
      </c>
      <c r="P101" s="130" t="s">
        <v>8</v>
      </c>
      <c r="Q101" s="135" t="str">
        <f t="shared" si="41"/>
        <v>P</v>
      </c>
      <c r="R101" s="132"/>
      <c r="S101" s="134" t="str">
        <f>IF(R101="","","de")</f>
        <v/>
      </c>
      <c r="T101" s="133"/>
      <c r="V101" s="58">
        <f t="shared" si="37"/>
        <v>18</v>
      </c>
      <c r="X101" s="80"/>
      <c r="Y101" s="81"/>
      <c r="Z101" s="81"/>
      <c r="AA101" s="81"/>
      <c r="AB101" s="81"/>
      <c r="AC101" s="81"/>
      <c r="AD101" s="81"/>
      <c r="AE101" s="81"/>
      <c r="AF101" s="81"/>
      <c r="AG101" s="105"/>
      <c r="AJ101" s="18"/>
      <c r="AK101" s="10"/>
      <c r="AL101" s="10"/>
      <c r="AM101" s="10"/>
      <c r="AN101" s="200">
        <f t="shared" si="31"/>
        <v>46330.09</v>
      </c>
      <c r="AO101" s="196">
        <f t="shared" si="38"/>
        <v>46330.09</v>
      </c>
      <c r="AP101" s="33" t="str">
        <f t="shared" si="39"/>
        <v>P</v>
      </c>
      <c r="AQ101" s="99" t="str">
        <f t="shared" si="34"/>
        <v>Farmácia</v>
      </c>
      <c r="AR101" s="218">
        <v>46199</v>
      </c>
      <c r="AS101" s="289" t="s">
        <v>56</v>
      </c>
      <c r="AT101" s="163">
        <v>131.09</v>
      </c>
      <c r="AU101" s="48"/>
      <c r="AV101" s="5"/>
      <c r="AW101" s="5"/>
      <c r="AX101" s="5"/>
      <c r="AY101" s="3"/>
      <c r="BQ101" s="5"/>
      <c r="BR101" s="5"/>
    </row>
    <row r="102" spans="1:72" ht="15" customHeight="1">
      <c r="A102" s="54">
        <f t="shared" si="40"/>
        <v>1</v>
      </c>
      <c r="B102" s="73">
        <f t="shared" si="35"/>
        <v>93</v>
      </c>
      <c r="C102" s="182">
        <v>80</v>
      </c>
      <c r="D102" s="191">
        <v>46270</v>
      </c>
      <c r="E102" s="185" t="s">
        <v>233</v>
      </c>
      <c r="G102" s="58" t="str">
        <f t="shared" ref="G102:G140" si="43">IF(OR(C102="",I102="Pago"),"",C102)</f>
        <v/>
      </c>
      <c r="I102" s="130" t="s">
        <v>2</v>
      </c>
      <c r="J102" s="207">
        <f t="shared" si="42"/>
        <v>46350</v>
      </c>
      <c r="K102" s="207">
        <f t="shared" si="36"/>
        <v>46350</v>
      </c>
      <c r="L102" s="153" t="s">
        <v>9</v>
      </c>
      <c r="M102" s="254">
        <f>IF(L102=$Y$103,MAX($M$10:M101)+1,0)</f>
        <v>0</v>
      </c>
      <c r="N102" s="261">
        <f>IF(L102=$Y$119,MAX($N$10:N101)+1,0)</f>
        <v>0</v>
      </c>
      <c r="O102" s="224" t="s">
        <v>94</v>
      </c>
      <c r="P102" s="130" t="s">
        <v>8</v>
      </c>
      <c r="Q102" s="135" t="str">
        <f t="shared" si="41"/>
        <v>P</v>
      </c>
      <c r="R102" s="132"/>
      <c r="S102" s="134" t="str">
        <f t="shared" ref="S102:S123" si="44">IF(R102="","","de")</f>
        <v/>
      </c>
      <c r="T102" s="133"/>
      <c r="V102" s="58">
        <f t="shared" si="37"/>
        <v>80</v>
      </c>
      <c r="Z102" s="6"/>
      <c r="AA102" s="26"/>
      <c r="AC102" s="170"/>
      <c r="AJ102" s="18"/>
      <c r="AK102" s="10"/>
      <c r="AL102" s="10"/>
      <c r="AM102" s="10"/>
      <c r="AN102" s="200">
        <f t="shared" si="31"/>
        <v>46340.85</v>
      </c>
      <c r="AO102" s="196">
        <f t="shared" si="38"/>
        <v>46340.85</v>
      </c>
      <c r="AP102" s="33" t="str">
        <f t="shared" si="39"/>
        <v>P</v>
      </c>
      <c r="AQ102" s="99" t="str">
        <f t="shared" si="34"/>
        <v>João</v>
      </c>
      <c r="AR102" s="218">
        <v>46198</v>
      </c>
      <c r="AS102" s="289" t="s">
        <v>205</v>
      </c>
      <c r="AT102" s="163">
        <v>142.85</v>
      </c>
      <c r="AU102" s="48"/>
      <c r="AV102" s="5"/>
      <c r="AW102" s="5"/>
      <c r="AX102" s="5"/>
      <c r="AY102" s="3"/>
      <c r="BQ102" s="5"/>
      <c r="BR102" s="5"/>
    </row>
    <row r="103" spans="1:72" ht="15" customHeight="1">
      <c r="A103" s="54">
        <f t="shared" si="40"/>
        <v>1</v>
      </c>
      <c r="B103" s="73">
        <f t="shared" si="35"/>
        <v>94</v>
      </c>
      <c r="C103" s="182">
        <v>3.5</v>
      </c>
      <c r="D103" s="191">
        <v>46270</v>
      </c>
      <c r="E103" s="185" t="s">
        <v>233</v>
      </c>
      <c r="G103" s="58" t="str">
        <f t="shared" si="43"/>
        <v/>
      </c>
      <c r="I103" s="130" t="s">
        <v>2</v>
      </c>
      <c r="J103" s="207">
        <f t="shared" si="42"/>
        <v>46273.5</v>
      </c>
      <c r="K103" s="207">
        <f t="shared" si="36"/>
        <v>46273.5</v>
      </c>
      <c r="L103" s="153" t="s">
        <v>9</v>
      </c>
      <c r="M103" s="254">
        <f>IF(L103=$Y$103,MAX($M$10:M102)+1,0)</f>
        <v>0</v>
      </c>
      <c r="N103" s="261">
        <f>IF(L103=$Y$119,MAX($N$10:N102)+1,0)</f>
        <v>0</v>
      </c>
      <c r="O103" s="224" t="s">
        <v>94</v>
      </c>
      <c r="P103" s="130" t="s">
        <v>8</v>
      </c>
      <c r="Q103" s="135" t="str">
        <f t="shared" si="41"/>
        <v>P</v>
      </c>
      <c r="R103" s="132"/>
      <c r="S103" s="134" t="str">
        <f t="shared" si="44"/>
        <v/>
      </c>
      <c r="T103" s="133"/>
      <c r="V103" s="58">
        <f t="shared" si="37"/>
        <v>3.5</v>
      </c>
      <c r="Y103" s="742" t="s">
        <v>10</v>
      </c>
      <c r="Z103" s="743"/>
      <c r="AA103" s="743"/>
      <c r="AB103" s="743"/>
      <c r="AC103" s="743"/>
      <c r="AD103" s="743"/>
      <c r="AE103" s="744"/>
      <c r="AJ103" s="18"/>
      <c r="AK103" s="10"/>
      <c r="AL103" s="10"/>
      <c r="AM103" s="10"/>
      <c r="AN103" s="200">
        <f t="shared" si="31"/>
        <v>46295.68</v>
      </c>
      <c r="AO103" s="196">
        <f t="shared" si="38"/>
        <v>46295.68</v>
      </c>
      <c r="AP103" s="33" t="str">
        <f t="shared" si="39"/>
        <v>P</v>
      </c>
      <c r="AQ103" s="99" t="str">
        <f t="shared" si="34"/>
        <v>João</v>
      </c>
      <c r="AR103" s="218">
        <v>46196</v>
      </c>
      <c r="AS103" s="289" t="s">
        <v>206</v>
      </c>
      <c r="AT103" s="163">
        <v>99.68</v>
      </c>
      <c r="AU103" s="48"/>
      <c r="AV103" s="5"/>
      <c r="AW103" s="5"/>
      <c r="AX103" s="5"/>
      <c r="AY103" s="3"/>
      <c r="BQ103" s="5"/>
      <c r="BR103" s="5"/>
    </row>
    <row r="104" spans="1:72" ht="15" customHeight="1">
      <c r="A104" s="54">
        <f t="shared" si="40"/>
        <v>1</v>
      </c>
      <c r="B104" s="73">
        <f t="shared" si="35"/>
        <v>95</v>
      </c>
      <c r="C104" s="182">
        <v>3</v>
      </c>
      <c r="D104" s="191">
        <v>46270</v>
      </c>
      <c r="E104" s="185" t="s">
        <v>233</v>
      </c>
      <c r="G104" s="58" t="str">
        <f t="shared" si="43"/>
        <v/>
      </c>
      <c r="I104" s="130" t="s">
        <v>2</v>
      </c>
      <c r="J104" s="207">
        <f t="shared" si="42"/>
        <v>46273</v>
      </c>
      <c r="K104" s="207">
        <f t="shared" si="36"/>
        <v>46273</v>
      </c>
      <c r="L104" s="153" t="s">
        <v>9</v>
      </c>
      <c r="M104" s="254">
        <f>IF(L104=$Y$103,MAX($M$10:M103)+1,0)</f>
        <v>0</v>
      </c>
      <c r="N104" s="261">
        <f>IF(L104=$Y$119,MAX($N$10:N103)+1,0)</f>
        <v>0</v>
      </c>
      <c r="O104" s="224" t="s">
        <v>94</v>
      </c>
      <c r="P104" s="130" t="s">
        <v>8</v>
      </c>
      <c r="Q104" s="135" t="str">
        <f t="shared" si="41"/>
        <v>P</v>
      </c>
      <c r="R104" s="132"/>
      <c r="S104" s="134" t="str">
        <f t="shared" si="44"/>
        <v/>
      </c>
      <c r="T104" s="133"/>
      <c r="V104" s="58">
        <f t="shared" si="37"/>
        <v>3</v>
      </c>
      <c r="Y104" s="745"/>
      <c r="Z104" s="746"/>
      <c r="AA104" s="746"/>
      <c r="AB104" s="746"/>
      <c r="AC104" s="746"/>
      <c r="AD104" s="746"/>
      <c r="AE104" s="747"/>
      <c r="AJ104" s="18"/>
      <c r="AK104" s="10"/>
      <c r="AL104" s="10"/>
      <c r="AM104" s="10"/>
      <c r="AN104" s="200">
        <f t="shared" si="31"/>
        <v>46380</v>
      </c>
      <c r="AO104" s="196">
        <f t="shared" si="38"/>
        <v>46380</v>
      </c>
      <c r="AP104" s="33" t="str">
        <f t="shared" si="39"/>
        <v>P</v>
      </c>
      <c r="AQ104" s="99" t="str">
        <f t="shared" si="34"/>
        <v>Guto</v>
      </c>
      <c r="AR104" s="218">
        <v>46190</v>
      </c>
      <c r="AS104" s="289" t="s">
        <v>207</v>
      </c>
      <c r="AT104" s="163">
        <v>190</v>
      </c>
      <c r="AU104" s="48"/>
      <c r="AV104" s="5"/>
      <c r="AW104" s="5"/>
      <c r="AX104" s="5"/>
      <c r="AY104" s="3"/>
      <c r="BQ104" s="5"/>
      <c r="BR104" s="5"/>
    </row>
    <row r="105" spans="1:72" ht="15" customHeight="1">
      <c r="A105" s="54">
        <f t="shared" si="40"/>
        <v>1</v>
      </c>
      <c r="B105" s="73">
        <f t="shared" si="35"/>
        <v>96</v>
      </c>
      <c r="C105" s="182">
        <v>24.89</v>
      </c>
      <c r="D105" s="191">
        <v>46268</v>
      </c>
      <c r="E105" s="185" t="s">
        <v>168</v>
      </c>
      <c r="G105" s="58" t="str">
        <f>IF(OR(C105="",I105="Pago"),"",C105)</f>
        <v/>
      </c>
      <c r="I105" s="130" t="s">
        <v>2</v>
      </c>
      <c r="J105" s="207">
        <f t="shared" ref="J105" si="45">C105+D105</f>
        <v>46292.89</v>
      </c>
      <c r="K105" s="207" t="str">
        <f t="shared" ref="K105" si="46">IFERROR(VLOOKUP(J105,$AO$5:$AO$173,1,0),"")</f>
        <v/>
      </c>
      <c r="L105" s="153" t="s">
        <v>145</v>
      </c>
      <c r="M105" s="254">
        <f>IF(L105=$Y$103,MAX($M$10:M104)+1,0)</f>
        <v>0</v>
      </c>
      <c r="N105" s="261">
        <f>IF(L105=$Y$119,MAX($N$10:N104)+1,0)</f>
        <v>0</v>
      </c>
      <c r="O105" s="224" t="s">
        <v>94</v>
      </c>
      <c r="P105" s="130" t="s">
        <v>118</v>
      </c>
      <c r="Q105" s="135" t="str">
        <f t="shared" ref="Q105" si="47">IF(P105="AV","8",IF(AND(J105=0,K105=0),"",IF(J105=K105,"P",IF(J105&lt;&gt;K105,"O"))))</f>
        <v>8</v>
      </c>
      <c r="R105" s="132"/>
      <c r="S105" s="134" t="str">
        <f t="shared" si="44"/>
        <v/>
      </c>
      <c r="T105" s="133"/>
      <c r="V105" s="58">
        <f t="shared" si="37"/>
        <v>24.89</v>
      </c>
      <c r="Y105" s="271" t="s">
        <v>4</v>
      </c>
      <c r="Z105" s="241"/>
      <c r="AA105" s="242" t="s">
        <v>3</v>
      </c>
      <c r="AB105" s="243"/>
      <c r="AC105" s="748" t="s">
        <v>1</v>
      </c>
      <c r="AD105" s="749"/>
      <c r="AE105" s="243" t="s">
        <v>14</v>
      </c>
      <c r="AJ105" s="18"/>
      <c r="AK105" s="10"/>
      <c r="AL105" s="10"/>
      <c r="AM105" s="10"/>
      <c r="AN105" s="200">
        <f t="shared" si="31"/>
        <v>46269.39</v>
      </c>
      <c r="AO105" s="196">
        <f t="shared" si="38"/>
        <v>46269.39</v>
      </c>
      <c r="AP105" s="33" t="str">
        <f t="shared" si="39"/>
        <v>P</v>
      </c>
      <c r="AQ105" s="99" t="str">
        <f t="shared" si="34"/>
        <v>Guto</v>
      </c>
      <c r="AR105" s="218">
        <v>46185</v>
      </c>
      <c r="AS105" s="289" t="s">
        <v>208</v>
      </c>
      <c r="AT105" s="163">
        <v>84.39</v>
      </c>
      <c r="AU105" s="48"/>
      <c r="AV105" s="5"/>
      <c r="AW105" s="5"/>
      <c r="AX105" s="5"/>
      <c r="AY105" s="3"/>
      <c r="BQ105" s="5"/>
      <c r="BR105" s="5"/>
    </row>
    <row r="106" spans="1:72" ht="15" customHeight="1">
      <c r="A106" s="54">
        <f t="shared" si="40"/>
        <v>1</v>
      </c>
      <c r="B106" s="73">
        <f t="shared" si="35"/>
        <v>97</v>
      </c>
      <c r="C106" s="182">
        <v>20</v>
      </c>
      <c r="D106" s="191">
        <v>46274</v>
      </c>
      <c r="E106" s="185" t="s">
        <v>236</v>
      </c>
      <c r="G106" s="58" t="str">
        <f t="shared" si="43"/>
        <v/>
      </c>
      <c r="I106" s="130" t="s">
        <v>2</v>
      </c>
      <c r="J106" s="207">
        <f t="shared" si="42"/>
        <v>46294</v>
      </c>
      <c r="K106" s="207">
        <f t="shared" ref="K106:K137" si="48">IFERROR(VLOOKUP(J106,$AO$5:$AO$173,1,0),"")</f>
        <v>46294</v>
      </c>
      <c r="L106" s="153" t="s">
        <v>7</v>
      </c>
      <c r="M106" s="254">
        <f>IF(L106=$Y$103,MAX($M$10:M105)+1,0)</f>
        <v>0</v>
      </c>
      <c r="N106" s="261">
        <f>IF(L106=$Y$119,MAX($N$10:N105)+1,0)</f>
        <v>0</v>
      </c>
      <c r="O106" s="224" t="s">
        <v>94</v>
      </c>
      <c r="P106" s="130" t="s">
        <v>8</v>
      </c>
      <c r="Q106" s="135" t="str">
        <f t="shared" si="41"/>
        <v>P</v>
      </c>
      <c r="R106" s="132"/>
      <c r="S106" s="134" t="str">
        <f t="shared" si="44"/>
        <v/>
      </c>
      <c r="T106" s="133"/>
      <c r="V106" s="58">
        <f t="shared" si="37"/>
        <v>20</v>
      </c>
      <c r="X106" s="266">
        <v>1</v>
      </c>
      <c r="Y106" s="240">
        <f t="shared" ref="Y106:Y115" si="49">IF(COUNTIF($M$10:$M$168,X106)=0,0,INDEX($C$10:$C$168,MATCH(X106,$M$10:$M$168,0)))</f>
        <v>136.66</v>
      </c>
      <c r="Z106" s="256"/>
      <c r="AA106" s="258">
        <f t="shared" ref="AA106:AA115" si="50">IF(COUNTIF($M$10:$M$168,X106)=0,0,INDEX($D$10:$D$168,MATCH(X106,$M$10:$M$168,0)))</f>
        <v>46185</v>
      </c>
      <c r="AB106" s="257"/>
      <c r="AC106" s="740" t="str">
        <f t="shared" ref="AC106:AC115" si="51">IF(COUNTIF($M$10:$M$168,X106)=0,0,INDEX($E$10:$E$168,MATCH(X106,$M$10:$M$168,0)))</f>
        <v>Camiseta Time Lívia</v>
      </c>
      <c r="AD106" s="741"/>
      <c r="AE106" s="282" t="str">
        <f>IFERROR(IF(INDEX($R$10:$R$168,MATCH(X106,$M$10:$M$168,0))&lt;&gt;"","Sim","Não"),"")</f>
        <v>Sim</v>
      </c>
      <c r="AJ106" s="18"/>
      <c r="AK106" s="10"/>
      <c r="AL106" s="10"/>
      <c r="AM106" s="10"/>
      <c r="AN106" s="200">
        <f t="shared" si="31"/>
        <v>46321.66</v>
      </c>
      <c r="AO106" s="196">
        <f t="shared" si="38"/>
        <v>46321.66</v>
      </c>
      <c r="AP106" s="33" t="str">
        <f t="shared" si="39"/>
        <v>P</v>
      </c>
      <c r="AQ106" s="99" t="str">
        <f t="shared" si="34"/>
        <v>João</v>
      </c>
      <c r="AR106" s="218">
        <v>46185</v>
      </c>
      <c r="AS106" s="289" t="s">
        <v>209</v>
      </c>
      <c r="AT106" s="163">
        <v>136.66</v>
      </c>
      <c r="AU106" s="48"/>
      <c r="AV106" s="5"/>
      <c r="AW106" s="5"/>
      <c r="AX106" s="5"/>
      <c r="AY106" s="3"/>
      <c r="BQ106" s="5"/>
      <c r="BR106" s="5"/>
    </row>
    <row r="107" spans="1:72" ht="15" customHeight="1">
      <c r="A107" s="54">
        <f t="shared" si="40"/>
        <v>1</v>
      </c>
      <c r="B107" s="73">
        <f t="shared" si="35"/>
        <v>98</v>
      </c>
      <c r="C107" s="182">
        <v>36.9</v>
      </c>
      <c r="D107" s="191">
        <v>46265</v>
      </c>
      <c r="E107" s="185" t="s">
        <v>249</v>
      </c>
      <c r="G107" s="58" t="str">
        <f t="shared" si="43"/>
        <v/>
      </c>
      <c r="I107" s="130" t="s">
        <v>2</v>
      </c>
      <c r="J107" s="207">
        <f t="shared" si="42"/>
        <v>46301.9</v>
      </c>
      <c r="K107" s="207" t="str">
        <f t="shared" si="48"/>
        <v/>
      </c>
      <c r="L107" s="153" t="s">
        <v>27</v>
      </c>
      <c r="M107" s="254">
        <f>IF(L107=$Y$103,MAX($M$10:M106)+1,0)</f>
        <v>0</v>
      </c>
      <c r="N107" s="261">
        <f>IF(L107=$Y$119,MAX($N$10:N106)+1,0)</f>
        <v>0</v>
      </c>
      <c r="O107" s="224" t="s">
        <v>98</v>
      </c>
      <c r="P107" s="130" t="s">
        <v>118</v>
      </c>
      <c r="Q107" s="135" t="str">
        <f t="shared" si="41"/>
        <v>8</v>
      </c>
      <c r="R107" s="132"/>
      <c r="S107" s="134" t="str">
        <f t="shared" si="44"/>
        <v/>
      </c>
      <c r="T107" s="133"/>
      <c r="V107" s="58">
        <f t="shared" si="37"/>
        <v>36.9</v>
      </c>
      <c r="X107" s="267">
        <v>2</v>
      </c>
      <c r="Y107" s="52">
        <f t="shared" si="49"/>
        <v>85.75</v>
      </c>
      <c r="Z107" s="244"/>
      <c r="AA107" s="259">
        <f t="shared" si="50"/>
        <v>46039</v>
      </c>
      <c r="AB107" s="245"/>
      <c r="AC107" s="730" t="str">
        <f t="shared" si="51"/>
        <v>Shepora - Perfume João</v>
      </c>
      <c r="AD107" s="731"/>
      <c r="AE107" s="283" t="str">
        <f t="shared" ref="AE107:AE115" si="52">IFERROR(IF(INDEX($R$10:$R$168,MATCH(X107,$M$10:$M$168,0))&lt;&gt;"","Sim","Não"),"")</f>
        <v>Sim</v>
      </c>
      <c r="AJ107" s="18"/>
      <c r="AK107" s="10"/>
      <c r="AL107" s="10"/>
      <c r="AM107" s="10"/>
      <c r="AN107" s="201">
        <f t="shared" si="31"/>
        <v>46141.49</v>
      </c>
      <c r="AO107" s="203">
        <f t="shared" si="38"/>
        <v>46141.49</v>
      </c>
      <c r="AP107" s="115" t="str">
        <f t="shared" si="39"/>
        <v>P</v>
      </c>
      <c r="AQ107" s="164" t="str">
        <f t="shared" si="34"/>
        <v>Guto</v>
      </c>
      <c r="AR107" s="218">
        <v>46034</v>
      </c>
      <c r="AS107" s="289" t="s">
        <v>210</v>
      </c>
      <c r="AT107" s="163">
        <v>107.49</v>
      </c>
      <c r="AU107" s="48"/>
      <c r="AV107" s="5"/>
      <c r="AW107" s="5"/>
      <c r="AX107" s="5"/>
      <c r="AY107" s="3"/>
      <c r="BQ107" s="5"/>
      <c r="BR107" s="5"/>
    </row>
    <row r="108" spans="1:72" ht="15" customHeight="1">
      <c r="A108" s="54">
        <f t="shared" si="40"/>
        <v>1</v>
      </c>
      <c r="B108" s="73">
        <f t="shared" si="35"/>
        <v>99</v>
      </c>
      <c r="C108" s="182">
        <v>80</v>
      </c>
      <c r="D108" s="191">
        <v>46279</v>
      </c>
      <c r="E108" s="185" t="s">
        <v>67</v>
      </c>
      <c r="G108" s="58" t="str">
        <f t="shared" si="43"/>
        <v/>
      </c>
      <c r="I108" s="130" t="s">
        <v>2</v>
      </c>
      <c r="J108" s="207">
        <f t="shared" si="42"/>
        <v>46359</v>
      </c>
      <c r="K108" s="207" t="str">
        <f t="shared" si="48"/>
        <v/>
      </c>
      <c r="L108" s="153" t="s">
        <v>7</v>
      </c>
      <c r="M108" s="254">
        <f>IF(L108=$Y$103,MAX($M$10:M107)+1,0)</f>
        <v>0</v>
      </c>
      <c r="N108" s="261">
        <f>IF(L108=$Y$119,MAX($N$10:N107)+1,0)</f>
        <v>0</v>
      </c>
      <c r="O108" s="224" t="s">
        <v>94</v>
      </c>
      <c r="P108" s="130" t="s">
        <v>118</v>
      </c>
      <c r="Q108" s="135" t="str">
        <f t="shared" si="41"/>
        <v>8</v>
      </c>
      <c r="R108" s="132"/>
      <c r="S108" s="134" t="str">
        <f t="shared" si="44"/>
        <v/>
      </c>
      <c r="T108" s="133"/>
      <c r="V108" s="58">
        <f t="shared" si="37"/>
        <v>80</v>
      </c>
      <c r="X108" s="267">
        <v>3</v>
      </c>
      <c r="Y108" s="52">
        <f t="shared" si="49"/>
        <v>99.68</v>
      </c>
      <c r="Z108" s="244"/>
      <c r="AA108" s="259">
        <f t="shared" si="50"/>
        <v>46196</v>
      </c>
      <c r="AB108" s="245"/>
      <c r="AC108" s="730" t="str">
        <f t="shared" si="51"/>
        <v>Mouse João</v>
      </c>
      <c r="AD108" s="731"/>
      <c r="AE108" s="283" t="str">
        <f t="shared" si="52"/>
        <v>Sim</v>
      </c>
      <c r="AJ108" s="18"/>
      <c r="AK108" s="10"/>
      <c r="AL108" s="10"/>
      <c r="AM108" s="10"/>
      <c r="AN108" s="10"/>
      <c r="AO108" s="10"/>
      <c r="AP108" s="10"/>
      <c r="AQ108" s="10"/>
      <c r="AR108" s="565">
        <f>SUM(AT5:AT107)</f>
        <v>3696.3499999999995</v>
      </c>
      <c r="AS108" s="566"/>
      <c r="AT108" s="567"/>
      <c r="AU108" s="112"/>
      <c r="AX108" s="5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3"/>
      <c r="BQ108" s="5"/>
      <c r="BR108" s="5"/>
    </row>
    <row r="109" spans="1:72" ht="15" customHeight="1">
      <c r="A109" s="54">
        <f t="shared" si="40"/>
        <v>1</v>
      </c>
      <c r="B109" s="73">
        <f t="shared" si="35"/>
        <v>100</v>
      </c>
      <c r="C109" s="182">
        <v>7</v>
      </c>
      <c r="D109" s="191">
        <v>46279</v>
      </c>
      <c r="E109" s="185" t="s">
        <v>177</v>
      </c>
      <c r="G109" s="58" t="str">
        <f t="shared" si="43"/>
        <v/>
      </c>
      <c r="I109" s="130" t="s">
        <v>2</v>
      </c>
      <c r="J109" s="207">
        <f t="shared" si="42"/>
        <v>46286</v>
      </c>
      <c r="K109" s="207" t="str">
        <f t="shared" si="48"/>
        <v/>
      </c>
      <c r="L109" s="153" t="s">
        <v>7</v>
      </c>
      <c r="M109" s="254">
        <f>IF(L109=$Y$103,MAX($M$10:M108)+1,0)</f>
        <v>0</v>
      </c>
      <c r="N109" s="261">
        <f>IF(L109=$Y$119,MAX($N$10:N108)+1,0)</f>
        <v>0</v>
      </c>
      <c r="O109" s="224" t="s">
        <v>89</v>
      </c>
      <c r="P109" s="130" t="s">
        <v>118</v>
      </c>
      <c r="Q109" s="135" t="str">
        <f t="shared" ref="Q109:Q137" si="53">IF(P109="AV","8",IF(AND(J109=0,K109=0),"",IF(J109=K109,"P",IF(J109&lt;&gt;K109,"O"))))</f>
        <v>8</v>
      </c>
      <c r="R109" s="132"/>
      <c r="S109" s="134" t="str">
        <f t="shared" si="44"/>
        <v/>
      </c>
      <c r="T109" s="133"/>
      <c r="V109" s="58">
        <f t="shared" si="37"/>
        <v>7</v>
      </c>
      <c r="X109" s="267">
        <v>4</v>
      </c>
      <c r="Y109" s="52">
        <f t="shared" si="49"/>
        <v>142.85</v>
      </c>
      <c r="Z109" s="244"/>
      <c r="AA109" s="259">
        <f t="shared" si="50"/>
        <v>46198</v>
      </c>
      <c r="AB109" s="245"/>
      <c r="AC109" s="730" t="str">
        <f t="shared" si="51"/>
        <v>Faca - Jogo João</v>
      </c>
      <c r="AD109" s="731"/>
      <c r="AE109" s="283" t="str">
        <f t="shared" si="52"/>
        <v>Sim</v>
      </c>
      <c r="AJ109" s="18"/>
      <c r="AK109" s="10"/>
      <c r="AL109" s="10"/>
      <c r="AM109" s="10"/>
      <c r="AN109" s="10"/>
      <c r="AO109" s="10"/>
      <c r="AP109" s="10"/>
      <c r="AQ109" s="10"/>
      <c r="AR109" s="565"/>
      <c r="AS109" s="566"/>
      <c r="AT109" s="567"/>
      <c r="AU109" s="113"/>
    </row>
    <row r="110" spans="1:72" ht="15" customHeight="1">
      <c r="A110" s="54">
        <f t="shared" si="40"/>
        <v>1</v>
      </c>
      <c r="B110" s="73">
        <f t="shared" si="35"/>
        <v>101</v>
      </c>
      <c r="C110" s="182">
        <v>45</v>
      </c>
      <c r="D110" s="191">
        <v>46283</v>
      </c>
      <c r="E110" s="185" t="s">
        <v>54</v>
      </c>
      <c r="G110" s="58" t="str">
        <f t="shared" si="43"/>
        <v/>
      </c>
      <c r="I110" s="130" t="s">
        <v>2</v>
      </c>
      <c r="J110" s="207">
        <f t="shared" si="42"/>
        <v>46328</v>
      </c>
      <c r="K110" s="207" t="str">
        <f t="shared" si="48"/>
        <v/>
      </c>
      <c r="L110" s="153" t="s">
        <v>137</v>
      </c>
      <c r="M110" s="254">
        <f>IF(L110=$Y$103,MAX($M$10:M109)+1,0)</f>
        <v>0</v>
      </c>
      <c r="N110" s="261">
        <f>IF(L110=$Y$119,MAX($N$10:N109)+1,0)</f>
        <v>0</v>
      </c>
      <c r="O110" s="224" t="s">
        <v>98</v>
      </c>
      <c r="P110" s="130" t="s">
        <v>118</v>
      </c>
      <c r="Q110" s="135" t="str">
        <f t="shared" si="53"/>
        <v>8</v>
      </c>
      <c r="R110" s="132"/>
      <c r="S110" s="134" t="str">
        <f t="shared" si="44"/>
        <v/>
      </c>
      <c r="T110" s="133"/>
      <c r="V110" s="58">
        <f t="shared" si="37"/>
        <v>45</v>
      </c>
      <c r="X110" s="267">
        <v>5</v>
      </c>
      <c r="Y110" s="291">
        <f t="shared" si="49"/>
        <v>249.9</v>
      </c>
      <c r="Z110" s="292"/>
      <c r="AA110" s="293">
        <f t="shared" si="50"/>
        <v>46259</v>
      </c>
      <c r="AB110" s="294"/>
      <c r="AC110" s="295" t="str">
        <f t="shared" si="51"/>
        <v>Placa de Vídeo</v>
      </c>
      <c r="AD110" s="296"/>
      <c r="AE110" s="297" t="str">
        <f t="shared" si="52"/>
        <v>Sim</v>
      </c>
      <c r="AG110" s="281"/>
      <c r="AJ110" s="18"/>
      <c r="AK110" s="10"/>
      <c r="AL110" s="10"/>
      <c r="AM110" s="10"/>
      <c r="AN110" s="199">
        <f t="shared" ref="AN110:AN129" si="54">IFERROR(VLOOKUP(AO110,$J$10:$J$199,1,0),"")</f>
        <v>0</v>
      </c>
      <c r="AO110" s="202">
        <f t="shared" si="38"/>
        <v>0</v>
      </c>
      <c r="AP110" s="114" t="str">
        <f t="shared" si="39"/>
        <v/>
      </c>
      <c r="AQ110" s="117">
        <f t="shared" ref="AQ110:AQ129" si="55">IFERROR(VLOOKUP(AO110,$J$10:$L$199,3,0),"")</f>
        <v>0</v>
      </c>
      <c r="AR110" s="121"/>
      <c r="AS110" s="42"/>
      <c r="AT110" s="163"/>
      <c r="AU110" s="568" t="s">
        <v>95</v>
      </c>
    </row>
    <row r="111" spans="1:72" ht="15" customHeight="1">
      <c r="A111" s="54">
        <f t="shared" si="40"/>
        <v>1</v>
      </c>
      <c r="B111" s="73">
        <f t="shared" si="35"/>
        <v>102</v>
      </c>
      <c r="C111" s="182">
        <v>66.599999999999994</v>
      </c>
      <c r="D111" s="191">
        <v>46283</v>
      </c>
      <c r="E111" s="185" t="s">
        <v>281</v>
      </c>
      <c r="G111" s="58" t="str">
        <f t="shared" si="43"/>
        <v/>
      </c>
      <c r="I111" s="130" t="s">
        <v>2</v>
      </c>
      <c r="J111" s="207">
        <f t="shared" si="42"/>
        <v>46349.599999999999</v>
      </c>
      <c r="K111" s="207" t="str">
        <f t="shared" si="48"/>
        <v/>
      </c>
      <c r="L111" s="153" t="s">
        <v>145</v>
      </c>
      <c r="M111" s="254">
        <f>IF(L111=$Y$103,MAX($M$10:M110)+1,0)</f>
        <v>0</v>
      </c>
      <c r="N111" s="261">
        <f>IF(L111=$Y$119,MAX($N$10:N110)+1,0)</f>
        <v>0</v>
      </c>
      <c r="O111" s="224" t="s">
        <v>94</v>
      </c>
      <c r="P111" s="130" t="s">
        <v>118</v>
      </c>
      <c r="Q111" s="135" t="str">
        <f t="shared" si="53"/>
        <v>8</v>
      </c>
      <c r="R111" s="132"/>
      <c r="S111" s="134" t="str">
        <f t="shared" si="44"/>
        <v/>
      </c>
      <c r="T111" s="133"/>
      <c r="V111" s="58">
        <f t="shared" si="37"/>
        <v>66.599999999999994</v>
      </c>
      <c r="X111" s="267">
        <v>6</v>
      </c>
      <c r="Y111" s="291">
        <f t="shared" si="49"/>
        <v>79.239999999999995</v>
      </c>
      <c r="Z111" s="292"/>
      <c r="AA111" s="293">
        <f t="shared" si="50"/>
        <v>46259</v>
      </c>
      <c r="AB111" s="294"/>
      <c r="AC111" s="295" t="str">
        <f t="shared" si="51"/>
        <v>Placa Mãe</v>
      </c>
      <c r="AD111" s="296"/>
      <c r="AE111" s="297" t="str">
        <f t="shared" si="52"/>
        <v>Sim</v>
      </c>
      <c r="AJ111" s="18"/>
      <c r="AK111" s="10"/>
      <c r="AL111" s="10"/>
      <c r="AM111" s="10"/>
      <c r="AN111" s="200">
        <f t="shared" si="54"/>
        <v>0</v>
      </c>
      <c r="AO111" s="196">
        <f t="shared" si="38"/>
        <v>0</v>
      </c>
      <c r="AP111" s="33" t="str">
        <f t="shared" si="39"/>
        <v/>
      </c>
      <c r="AQ111" s="99">
        <f t="shared" si="55"/>
        <v>0</v>
      </c>
      <c r="AR111" s="121"/>
      <c r="AS111" s="42"/>
      <c r="AT111" s="163"/>
      <c r="AU111" s="569"/>
    </row>
    <row r="112" spans="1:72" ht="15" customHeight="1">
      <c r="A112" s="54">
        <f t="shared" si="40"/>
        <v>1</v>
      </c>
      <c r="B112" s="73">
        <f t="shared" si="35"/>
        <v>103</v>
      </c>
      <c r="C112" s="182">
        <v>120</v>
      </c>
      <c r="D112" s="191">
        <v>46278</v>
      </c>
      <c r="E112" s="185" t="s">
        <v>51</v>
      </c>
      <c r="G112" s="58" t="str">
        <f t="shared" si="43"/>
        <v/>
      </c>
      <c r="I112" s="130" t="s">
        <v>2</v>
      </c>
      <c r="J112" s="207">
        <f t="shared" si="42"/>
        <v>46398</v>
      </c>
      <c r="K112" s="207" t="str">
        <f t="shared" si="48"/>
        <v/>
      </c>
      <c r="L112" s="153" t="s">
        <v>44</v>
      </c>
      <c r="M112" s="254">
        <f>IF(L112=$Y$103,MAX($M$10:M111)+1,0)</f>
        <v>0</v>
      </c>
      <c r="N112" s="261">
        <f>IF(L112=$Y$119,MAX($N$10:N111)+1,0)</f>
        <v>0</v>
      </c>
      <c r="O112" s="224" t="s">
        <v>98</v>
      </c>
      <c r="P112" s="130" t="s">
        <v>118</v>
      </c>
      <c r="Q112" s="135" t="str">
        <f t="shared" si="53"/>
        <v>8</v>
      </c>
      <c r="R112" s="132"/>
      <c r="S112" s="134" t="str">
        <f t="shared" si="44"/>
        <v/>
      </c>
      <c r="T112" s="133"/>
      <c r="V112" s="58">
        <f t="shared" si="37"/>
        <v>120</v>
      </c>
      <c r="X112" s="267">
        <v>7</v>
      </c>
      <c r="Y112" s="291">
        <f t="shared" si="49"/>
        <v>141.22</v>
      </c>
      <c r="Z112" s="292"/>
      <c r="AA112" s="293">
        <f t="shared" si="50"/>
        <v>46259</v>
      </c>
      <c r="AB112" s="294"/>
      <c r="AC112" s="295" t="str">
        <f t="shared" si="51"/>
        <v>Processador</v>
      </c>
      <c r="AD112" s="296"/>
      <c r="AE112" s="297" t="str">
        <f t="shared" si="52"/>
        <v>Sim</v>
      </c>
      <c r="AJ112" s="18"/>
      <c r="AK112" s="10"/>
      <c r="AL112" s="10"/>
      <c r="AM112" s="10"/>
      <c r="AN112" s="200">
        <f t="shared" si="54"/>
        <v>0</v>
      </c>
      <c r="AO112" s="196">
        <f t="shared" si="38"/>
        <v>0</v>
      </c>
      <c r="AP112" s="33" t="str">
        <f t="shared" si="39"/>
        <v/>
      </c>
      <c r="AQ112" s="99">
        <f t="shared" si="55"/>
        <v>0</v>
      </c>
      <c r="AR112" s="121"/>
      <c r="AS112" s="42"/>
      <c r="AT112" s="163"/>
      <c r="AU112" s="569"/>
    </row>
    <row r="113" spans="1:47" ht="15" customHeight="1">
      <c r="A113" s="54">
        <f t="shared" si="40"/>
        <v>1</v>
      </c>
      <c r="B113" s="73">
        <f t="shared" si="35"/>
        <v>104</v>
      </c>
      <c r="C113" s="182">
        <v>73</v>
      </c>
      <c r="D113" s="191">
        <v>46286</v>
      </c>
      <c r="E113" s="185" t="s">
        <v>284</v>
      </c>
      <c r="G113" s="58" t="str">
        <f t="shared" si="43"/>
        <v/>
      </c>
      <c r="I113" s="130" t="s">
        <v>2</v>
      </c>
      <c r="J113" s="207">
        <f t="shared" si="42"/>
        <v>46359</v>
      </c>
      <c r="K113" s="207" t="str">
        <f t="shared" si="48"/>
        <v/>
      </c>
      <c r="L113" s="153" t="s">
        <v>9</v>
      </c>
      <c r="M113" s="254">
        <f>IF(L113=$Y$103,MAX($M$10:M112)+1,0)</f>
        <v>0</v>
      </c>
      <c r="N113" s="261">
        <f>IF(L113=$Y$119,MAX($N$10:N112)+1,0)</f>
        <v>0</v>
      </c>
      <c r="O113" s="224" t="s">
        <v>94</v>
      </c>
      <c r="P113" s="130" t="s">
        <v>118</v>
      </c>
      <c r="Q113" s="135" t="str">
        <f t="shared" si="53"/>
        <v>8</v>
      </c>
      <c r="R113" s="132"/>
      <c r="S113" s="134" t="str">
        <f t="shared" si="44"/>
        <v/>
      </c>
      <c r="T113" s="133"/>
      <c r="V113" s="58">
        <f t="shared" si="37"/>
        <v>73</v>
      </c>
      <c r="X113" s="267">
        <v>8</v>
      </c>
      <c r="Y113" s="52">
        <f t="shared" si="49"/>
        <v>68.84</v>
      </c>
      <c r="Z113" s="244"/>
      <c r="AA113" s="259">
        <f t="shared" si="50"/>
        <v>46267</v>
      </c>
      <c r="AB113" s="245"/>
      <c r="AC113" s="277" t="str">
        <f t="shared" si="51"/>
        <v>Cooler João</v>
      </c>
      <c r="AD113" s="285"/>
      <c r="AE113" s="283" t="str">
        <f t="shared" si="52"/>
        <v>Sim</v>
      </c>
      <c r="AJ113" s="18"/>
      <c r="AK113" s="10"/>
      <c r="AL113" s="10"/>
      <c r="AM113" s="10"/>
      <c r="AN113" s="200">
        <f t="shared" si="54"/>
        <v>0</v>
      </c>
      <c r="AO113" s="196">
        <f t="shared" si="38"/>
        <v>0</v>
      </c>
      <c r="AP113" s="33" t="str">
        <f t="shared" si="39"/>
        <v/>
      </c>
      <c r="AQ113" s="99">
        <f t="shared" si="55"/>
        <v>0</v>
      </c>
      <c r="AR113" s="121"/>
      <c r="AS113" s="42"/>
      <c r="AT113" s="163"/>
      <c r="AU113" s="48"/>
    </row>
    <row r="114" spans="1:47" ht="15" customHeight="1">
      <c r="A114" s="54">
        <f t="shared" si="40"/>
        <v>1</v>
      </c>
      <c r="B114" s="73">
        <f t="shared" si="35"/>
        <v>105</v>
      </c>
      <c r="C114" s="182">
        <v>15</v>
      </c>
      <c r="D114" s="191">
        <v>46286</v>
      </c>
      <c r="E114" s="185" t="s">
        <v>284</v>
      </c>
      <c r="G114" s="58" t="str">
        <f t="shared" si="43"/>
        <v/>
      </c>
      <c r="I114" s="130" t="s">
        <v>2</v>
      </c>
      <c r="J114" s="207">
        <f t="shared" si="42"/>
        <v>46301</v>
      </c>
      <c r="K114" s="207" t="str">
        <f t="shared" si="48"/>
        <v/>
      </c>
      <c r="L114" s="153" t="s">
        <v>9</v>
      </c>
      <c r="M114" s="254">
        <f>IF(L114=$Y$103,MAX($M$10:M113)+1,0)</f>
        <v>0</v>
      </c>
      <c r="N114" s="261">
        <f>IF(L114=$Y$119,MAX($N$10:N113)+1,0)</f>
        <v>0</v>
      </c>
      <c r="O114" s="224" t="s">
        <v>94</v>
      </c>
      <c r="P114" s="130" t="s">
        <v>118</v>
      </c>
      <c r="Q114" s="135" t="str">
        <f t="shared" si="53"/>
        <v>8</v>
      </c>
      <c r="R114" s="132"/>
      <c r="S114" s="134" t="str">
        <f t="shared" si="44"/>
        <v/>
      </c>
      <c r="T114" s="133"/>
      <c r="V114" s="58">
        <f t="shared" si="37"/>
        <v>15</v>
      </c>
      <c r="X114" s="267">
        <v>9</v>
      </c>
      <c r="Y114" s="52">
        <f t="shared" si="49"/>
        <v>0</v>
      </c>
      <c r="Z114" s="244"/>
      <c r="AA114" s="259">
        <f t="shared" si="50"/>
        <v>0</v>
      </c>
      <c r="AB114" s="245"/>
      <c r="AC114" s="277">
        <f t="shared" si="51"/>
        <v>0</v>
      </c>
      <c r="AD114" s="285"/>
      <c r="AE114" s="283" t="str">
        <f t="shared" si="52"/>
        <v/>
      </c>
      <c r="AJ114" s="18"/>
      <c r="AK114" s="10"/>
      <c r="AL114" s="10"/>
      <c r="AM114" s="10"/>
      <c r="AN114" s="200">
        <f t="shared" si="54"/>
        <v>0</v>
      </c>
      <c r="AO114" s="196">
        <f t="shared" si="38"/>
        <v>0</v>
      </c>
      <c r="AP114" s="33" t="str">
        <f t="shared" si="39"/>
        <v/>
      </c>
      <c r="AQ114" s="99">
        <f t="shared" si="55"/>
        <v>0</v>
      </c>
      <c r="AR114" s="121"/>
      <c r="AS114" s="42"/>
      <c r="AT114" s="163"/>
      <c r="AU114" s="48"/>
    </row>
    <row r="115" spans="1:47" ht="15" customHeight="1">
      <c r="A115" s="54">
        <f t="shared" si="40"/>
        <v>1</v>
      </c>
      <c r="B115" s="73">
        <f t="shared" si="35"/>
        <v>106</v>
      </c>
      <c r="C115" s="182">
        <v>18</v>
      </c>
      <c r="D115" s="191">
        <v>46286</v>
      </c>
      <c r="E115" s="185" t="s">
        <v>284</v>
      </c>
      <c r="G115" s="58" t="str">
        <f t="shared" si="43"/>
        <v/>
      </c>
      <c r="I115" s="130" t="s">
        <v>2</v>
      </c>
      <c r="J115" s="207">
        <f t="shared" si="42"/>
        <v>46304</v>
      </c>
      <c r="K115" s="207" t="str">
        <f t="shared" si="48"/>
        <v/>
      </c>
      <c r="L115" s="153" t="s">
        <v>9</v>
      </c>
      <c r="M115" s="254">
        <f>IF(L115=$Y$103,MAX($M$10:M114)+1,0)</f>
        <v>0</v>
      </c>
      <c r="N115" s="261">
        <f>IF(L115=$Y$119,MAX($N$10:N114)+1,0)</f>
        <v>0</v>
      </c>
      <c r="O115" s="224" t="s">
        <v>94</v>
      </c>
      <c r="P115" s="130" t="s">
        <v>118</v>
      </c>
      <c r="Q115" s="135" t="str">
        <f t="shared" si="53"/>
        <v>8</v>
      </c>
      <c r="R115" s="132"/>
      <c r="S115" s="134" t="str">
        <f t="shared" si="44"/>
        <v/>
      </c>
      <c r="T115" s="133"/>
      <c r="V115" s="58">
        <f t="shared" si="37"/>
        <v>18</v>
      </c>
      <c r="X115" s="268">
        <v>10</v>
      </c>
      <c r="Y115" s="52">
        <f t="shared" si="49"/>
        <v>0</v>
      </c>
      <c r="Z115" s="244"/>
      <c r="AA115" s="259">
        <f t="shared" si="50"/>
        <v>0</v>
      </c>
      <c r="AB115" s="245"/>
      <c r="AC115" s="278">
        <f t="shared" si="51"/>
        <v>0</v>
      </c>
      <c r="AD115" s="286"/>
      <c r="AE115" s="284" t="str">
        <f t="shared" si="52"/>
        <v/>
      </c>
      <c r="AJ115" s="18"/>
      <c r="AK115" s="10"/>
      <c r="AL115" s="10"/>
      <c r="AM115" s="10"/>
      <c r="AN115" s="200">
        <f t="shared" si="54"/>
        <v>0</v>
      </c>
      <c r="AO115" s="196">
        <f t="shared" si="38"/>
        <v>0</v>
      </c>
      <c r="AP115" s="33" t="str">
        <f t="shared" si="39"/>
        <v/>
      </c>
      <c r="AQ115" s="99">
        <f t="shared" si="55"/>
        <v>0</v>
      </c>
      <c r="AR115" s="121"/>
      <c r="AS115" s="42"/>
      <c r="AT115" s="163"/>
      <c r="AU115" s="48"/>
    </row>
    <row r="116" spans="1:47" ht="15" customHeight="1">
      <c r="A116" s="54">
        <f t="shared" si="40"/>
        <v>1</v>
      </c>
      <c r="B116" s="73">
        <f t="shared" si="35"/>
        <v>107</v>
      </c>
      <c r="C116" s="182">
        <v>10</v>
      </c>
      <c r="D116" s="191">
        <v>46286</v>
      </c>
      <c r="E116" s="185" t="s">
        <v>284</v>
      </c>
      <c r="G116" s="58" t="str">
        <f t="shared" si="43"/>
        <v/>
      </c>
      <c r="I116" s="130" t="s">
        <v>2</v>
      </c>
      <c r="J116" s="207">
        <f t="shared" si="42"/>
        <v>46296</v>
      </c>
      <c r="K116" s="207" t="str">
        <f t="shared" si="48"/>
        <v/>
      </c>
      <c r="L116" s="153" t="s">
        <v>9</v>
      </c>
      <c r="M116" s="254">
        <f>IF(L116=$Y$103,MAX($M$10:M115)+1,0)</f>
        <v>0</v>
      </c>
      <c r="N116" s="261">
        <f>IF(L116=$Y$119,MAX($N$10:N115)+1,0)</f>
        <v>0</v>
      </c>
      <c r="O116" s="224" t="s">
        <v>94</v>
      </c>
      <c r="P116" s="130" t="s">
        <v>118</v>
      </c>
      <c r="Q116" s="135" t="str">
        <f t="shared" si="53"/>
        <v>8</v>
      </c>
      <c r="R116" s="132"/>
      <c r="S116" s="134" t="str">
        <f t="shared" si="44"/>
        <v/>
      </c>
      <c r="T116" s="133"/>
      <c r="V116" s="58">
        <f t="shared" si="37"/>
        <v>10</v>
      </c>
      <c r="Y116" s="734">
        <f>SUM(Y106:Y115)</f>
        <v>1004.1400000000001</v>
      </c>
      <c r="Z116" s="735"/>
      <c r="AA116" s="735"/>
      <c r="AB116" s="735"/>
      <c r="AC116" s="735"/>
      <c r="AD116" s="735"/>
      <c r="AE116" s="736"/>
      <c r="AJ116" s="18"/>
      <c r="AK116" s="10"/>
      <c r="AL116" s="10"/>
      <c r="AM116" s="10"/>
      <c r="AN116" s="200">
        <f t="shared" si="54"/>
        <v>0</v>
      </c>
      <c r="AO116" s="196">
        <f t="shared" si="38"/>
        <v>0</v>
      </c>
      <c r="AP116" s="33" t="str">
        <f t="shared" si="39"/>
        <v/>
      </c>
      <c r="AQ116" s="99">
        <f t="shared" si="55"/>
        <v>0</v>
      </c>
      <c r="AR116" s="103"/>
      <c r="AS116" s="109"/>
      <c r="AT116" s="101"/>
      <c r="AU116" s="48"/>
    </row>
    <row r="117" spans="1:47" ht="15" customHeight="1">
      <c r="A117" s="54">
        <f t="shared" si="40"/>
        <v>1</v>
      </c>
      <c r="B117" s="73">
        <f t="shared" si="35"/>
        <v>108</v>
      </c>
      <c r="C117" s="182">
        <v>10</v>
      </c>
      <c r="D117" s="191">
        <v>46286</v>
      </c>
      <c r="E117" s="185" t="s">
        <v>284</v>
      </c>
      <c r="G117" s="58" t="str">
        <f t="shared" si="43"/>
        <v/>
      </c>
      <c r="I117" s="130" t="s">
        <v>2</v>
      </c>
      <c r="J117" s="207">
        <f t="shared" si="42"/>
        <v>46296</v>
      </c>
      <c r="K117" s="207" t="str">
        <f t="shared" si="48"/>
        <v/>
      </c>
      <c r="L117" s="153" t="s">
        <v>9</v>
      </c>
      <c r="M117" s="254">
        <f>IF(L117=$Y$103,MAX($M$10:M116)+1,0)</f>
        <v>0</v>
      </c>
      <c r="N117" s="261">
        <f>IF(L117=$Y$119,MAX($N$10:N116)+1,0)</f>
        <v>0</v>
      </c>
      <c r="O117" s="224" t="s">
        <v>94</v>
      </c>
      <c r="P117" s="130" t="s">
        <v>118</v>
      </c>
      <c r="Q117" s="135" t="str">
        <f t="shared" si="53"/>
        <v>8</v>
      </c>
      <c r="R117" s="132"/>
      <c r="S117" s="134" t="str">
        <f t="shared" si="44"/>
        <v/>
      </c>
      <c r="T117" s="133"/>
      <c r="V117" s="58">
        <f t="shared" si="37"/>
        <v>10</v>
      </c>
      <c r="Y117" s="737"/>
      <c r="Z117" s="738"/>
      <c r="AA117" s="738"/>
      <c r="AB117" s="738"/>
      <c r="AC117" s="738"/>
      <c r="AD117" s="738"/>
      <c r="AE117" s="739"/>
      <c r="AJ117" s="18"/>
      <c r="AK117" s="10"/>
      <c r="AL117" s="10"/>
      <c r="AM117" s="10"/>
      <c r="AN117" s="200">
        <f t="shared" si="54"/>
        <v>0</v>
      </c>
      <c r="AO117" s="196">
        <f t="shared" si="38"/>
        <v>0</v>
      </c>
      <c r="AP117" s="33" t="str">
        <f t="shared" si="39"/>
        <v/>
      </c>
      <c r="AQ117" s="99">
        <f t="shared" si="55"/>
        <v>0</v>
      </c>
      <c r="AR117" s="103"/>
      <c r="AS117" s="109"/>
      <c r="AT117" s="101"/>
      <c r="AU117" s="48"/>
    </row>
    <row r="118" spans="1:47" ht="15" customHeight="1">
      <c r="A118" s="54">
        <f t="shared" si="40"/>
        <v>1</v>
      </c>
      <c r="B118" s="73">
        <f t="shared" si="35"/>
        <v>109</v>
      </c>
      <c r="C118" s="182">
        <v>24.9</v>
      </c>
      <c r="D118" s="191">
        <v>46286</v>
      </c>
      <c r="E118" s="185" t="s">
        <v>285</v>
      </c>
      <c r="G118" s="58" t="str">
        <f t="shared" si="43"/>
        <v/>
      </c>
      <c r="I118" s="130" t="s">
        <v>2</v>
      </c>
      <c r="J118" s="207">
        <f t="shared" si="42"/>
        <v>46310.9</v>
      </c>
      <c r="K118" s="207" t="str">
        <f t="shared" si="48"/>
        <v/>
      </c>
      <c r="L118" s="153" t="s">
        <v>27</v>
      </c>
      <c r="M118" s="254">
        <f>IF(L118=$Y$103,MAX($M$10:M117)+1,0)</f>
        <v>0</v>
      </c>
      <c r="N118" s="261">
        <f>IF(L118=$Y$119,MAX($N$10:N117)+1,0)</f>
        <v>0</v>
      </c>
      <c r="O118" s="224" t="s">
        <v>94</v>
      </c>
      <c r="P118" s="130" t="s">
        <v>118</v>
      </c>
      <c r="Q118" s="135" t="str">
        <f t="shared" si="53"/>
        <v>8</v>
      </c>
      <c r="R118" s="132"/>
      <c r="S118" s="134" t="str">
        <f t="shared" si="44"/>
        <v/>
      </c>
      <c r="T118" s="133"/>
      <c r="V118" s="58">
        <f t="shared" si="37"/>
        <v>24.9</v>
      </c>
      <c r="AA118" s="10"/>
      <c r="AB118" s="10"/>
      <c r="AE118" s="10"/>
      <c r="AJ118" s="18"/>
      <c r="AK118" s="10"/>
      <c r="AL118" s="10"/>
      <c r="AM118" s="10"/>
      <c r="AN118" s="200">
        <f t="shared" si="54"/>
        <v>0</v>
      </c>
      <c r="AO118" s="196">
        <f t="shared" si="38"/>
        <v>0</v>
      </c>
      <c r="AP118" s="33" t="str">
        <f t="shared" si="39"/>
        <v/>
      </c>
      <c r="AQ118" s="99">
        <f t="shared" si="55"/>
        <v>0</v>
      </c>
      <c r="AR118" s="103"/>
      <c r="AS118" s="109"/>
      <c r="AT118" s="101"/>
      <c r="AU118" s="48"/>
    </row>
    <row r="119" spans="1:47" ht="15" customHeight="1">
      <c r="A119" s="54">
        <f t="shared" si="40"/>
        <v>1</v>
      </c>
      <c r="B119" s="73">
        <f t="shared" si="35"/>
        <v>110</v>
      </c>
      <c r="C119" s="182">
        <v>10.5</v>
      </c>
      <c r="D119" s="191">
        <v>46286</v>
      </c>
      <c r="E119" s="185" t="s">
        <v>75</v>
      </c>
      <c r="G119" s="58" t="str">
        <f t="shared" si="43"/>
        <v/>
      </c>
      <c r="I119" s="130" t="s">
        <v>2</v>
      </c>
      <c r="J119" s="207">
        <f t="shared" si="42"/>
        <v>46296.5</v>
      </c>
      <c r="K119" s="207" t="str">
        <f t="shared" si="48"/>
        <v/>
      </c>
      <c r="L119" s="153" t="s">
        <v>7</v>
      </c>
      <c r="M119" s="254">
        <f>IF(L119=$Y$103,MAX($M$10:M118)+1,0)</f>
        <v>0</v>
      </c>
      <c r="N119" s="261">
        <f>IF(L119=$Y$119,MAX($N$10:N118)+1,0)</f>
        <v>0</v>
      </c>
      <c r="O119" s="224" t="s">
        <v>94</v>
      </c>
      <c r="P119" s="130" t="s">
        <v>118</v>
      </c>
      <c r="Q119" s="135" t="str">
        <f t="shared" si="53"/>
        <v>8</v>
      </c>
      <c r="R119" s="132"/>
      <c r="S119" s="134" t="str">
        <f t="shared" si="44"/>
        <v/>
      </c>
      <c r="T119" s="133"/>
      <c r="V119" s="58">
        <f t="shared" si="37"/>
        <v>10.5</v>
      </c>
      <c r="X119" s="12"/>
      <c r="Y119" s="742" t="s">
        <v>5</v>
      </c>
      <c r="Z119" s="743"/>
      <c r="AA119" s="743"/>
      <c r="AB119" s="743"/>
      <c r="AC119" s="743"/>
      <c r="AD119" s="743"/>
      <c r="AE119" s="744"/>
      <c r="AJ119" s="18"/>
      <c r="AK119" s="10"/>
      <c r="AL119" s="10"/>
      <c r="AM119" s="10"/>
      <c r="AN119" s="200">
        <f t="shared" si="54"/>
        <v>0</v>
      </c>
      <c r="AO119" s="196">
        <f t="shared" si="38"/>
        <v>0</v>
      </c>
      <c r="AP119" s="33" t="str">
        <f t="shared" si="39"/>
        <v/>
      </c>
      <c r="AQ119" s="99">
        <f t="shared" si="55"/>
        <v>0</v>
      </c>
      <c r="AR119" s="103"/>
      <c r="AS119" s="109"/>
      <c r="AT119" s="101"/>
      <c r="AU119" s="48"/>
    </row>
    <row r="120" spans="1:47" ht="15" customHeight="1">
      <c r="A120" s="54">
        <f t="shared" ref="A120:A128" si="56">IF(B119&lt;&gt;"",1,"")</f>
        <v>1</v>
      </c>
      <c r="B120" s="73">
        <f t="shared" si="35"/>
        <v>111</v>
      </c>
      <c r="C120" s="182">
        <v>9.99</v>
      </c>
      <c r="D120" s="191">
        <v>46255</v>
      </c>
      <c r="E120" s="185" t="s">
        <v>296</v>
      </c>
      <c r="G120" s="58" t="str">
        <f t="shared" si="43"/>
        <v/>
      </c>
      <c r="I120" s="130" t="s">
        <v>2</v>
      </c>
      <c r="J120" s="207">
        <f t="shared" si="42"/>
        <v>46264.99</v>
      </c>
      <c r="K120" s="207" t="str">
        <f t="shared" si="48"/>
        <v/>
      </c>
      <c r="L120" s="153" t="s">
        <v>145</v>
      </c>
      <c r="M120" s="254">
        <f>IF(L120=$Y$103,MAX($M$10:M119)+1,0)</f>
        <v>0</v>
      </c>
      <c r="N120" s="261">
        <f>IF(L120=$Y$119,MAX($N$10:N119)+1,0)</f>
        <v>0</v>
      </c>
      <c r="O120" s="224" t="s">
        <v>94</v>
      </c>
      <c r="P120" s="130" t="s">
        <v>118</v>
      </c>
      <c r="Q120" s="135" t="str">
        <f t="shared" si="53"/>
        <v>8</v>
      </c>
      <c r="R120" s="132"/>
      <c r="S120" s="134" t="str">
        <f t="shared" si="44"/>
        <v/>
      </c>
      <c r="T120" s="133"/>
      <c r="V120" s="58">
        <f t="shared" si="37"/>
        <v>9.99</v>
      </c>
      <c r="Y120" s="745"/>
      <c r="Z120" s="746"/>
      <c r="AA120" s="746"/>
      <c r="AB120" s="746"/>
      <c r="AC120" s="746"/>
      <c r="AD120" s="746"/>
      <c r="AE120" s="747"/>
      <c r="AJ120" s="18"/>
      <c r="AK120" s="10"/>
      <c r="AL120" s="10"/>
      <c r="AM120" s="10"/>
      <c r="AN120" s="200">
        <f t="shared" si="54"/>
        <v>0</v>
      </c>
      <c r="AO120" s="196">
        <f t="shared" si="38"/>
        <v>0</v>
      </c>
      <c r="AP120" s="33" t="str">
        <f t="shared" si="39"/>
        <v/>
      </c>
      <c r="AQ120" s="99">
        <f t="shared" si="55"/>
        <v>0</v>
      </c>
      <c r="AR120" s="103"/>
      <c r="AS120" s="109"/>
      <c r="AT120" s="101"/>
      <c r="AU120" s="48"/>
    </row>
    <row r="121" spans="1:47" ht="15" customHeight="1">
      <c r="A121" s="54">
        <f t="shared" si="56"/>
        <v>1</v>
      </c>
      <c r="B121" s="73">
        <f t="shared" si="35"/>
        <v>112</v>
      </c>
      <c r="C121" s="182">
        <v>18.41</v>
      </c>
      <c r="D121" s="191">
        <v>46256</v>
      </c>
      <c r="E121" s="185" t="s">
        <v>296</v>
      </c>
      <c r="G121" s="58" t="str">
        <f t="shared" si="43"/>
        <v/>
      </c>
      <c r="I121" s="130" t="s">
        <v>2</v>
      </c>
      <c r="J121" s="207">
        <f t="shared" si="42"/>
        <v>46274.41</v>
      </c>
      <c r="K121" s="207" t="str">
        <f t="shared" si="48"/>
        <v/>
      </c>
      <c r="L121" s="153" t="s">
        <v>145</v>
      </c>
      <c r="M121" s="254">
        <f>IF(L121=$Y$103,MAX($M$10:M120)+1,0)</f>
        <v>0</v>
      </c>
      <c r="N121" s="261">
        <f>IF(L121=$Y$119,MAX($N$10:N120)+1,0)</f>
        <v>0</v>
      </c>
      <c r="O121" s="224" t="s">
        <v>94</v>
      </c>
      <c r="P121" s="130" t="s">
        <v>118</v>
      </c>
      <c r="Q121" s="135" t="str">
        <f t="shared" si="53"/>
        <v>8</v>
      </c>
      <c r="R121" s="132"/>
      <c r="S121" s="134" t="str">
        <f t="shared" si="44"/>
        <v/>
      </c>
      <c r="T121" s="133"/>
      <c r="V121" s="58">
        <f t="shared" si="37"/>
        <v>18.41</v>
      </c>
      <c r="Y121" s="271" t="s">
        <v>4</v>
      </c>
      <c r="Z121" s="241"/>
      <c r="AA121" s="242" t="s">
        <v>3</v>
      </c>
      <c r="AB121" s="243"/>
      <c r="AC121" s="748" t="s">
        <v>1</v>
      </c>
      <c r="AD121" s="749"/>
      <c r="AE121" s="243" t="s">
        <v>14</v>
      </c>
      <c r="AJ121" s="18"/>
      <c r="AK121" s="10"/>
      <c r="AL121" s="10"/>
      <c r="AM121" s="10"/>
      <c r="AN121" s="200">
        <f t="shared" si="54"/>
        <v>0</v>
      </c>
      <c r="AO121" s="196">
        <f t="shared" si="38"/>
        <v>0</v>
      </c>
      <c r="AP121" s="33" t="str">
        <f t="shared" si="39"/>
        <v/>
      </c>
      <c r="AQ121" s="99">
        <f t="shared" si="55"/>
        <v>0</v>
      </c>
      <c r="AR121" s="103"/>
      <c r="AS121" s="109"/>
      <c r="AT121" s="101"/>
      <c r="AU121" s="48"/>
    </row>
    <row r="122" spans="1:47" ht="15" customHeight="1">
      <c r="A122" s="54">
        <f t="shared" si="56"/>
        <v>1</v>
      </c>
      <c r="B122" s="73">
        <f t="shared" si="35"/>
        <v>113</v>
      </c>
      <c r="C122" s="182">
        <v>20</v>
      </c>
      <c r="D122" s="191">
        <v>46293</v>
      </c>
      <c r="E122" s="185" t="s">
        <v>10</v>
      </c>
      <c r="G122" s="58" t="str">
        <f t="shared" si="43"/>
        <v/>
      </c>
      <c r="I122" s="130" t="s">
        <v>2</v>
      </c>
      <c r="J122" s="207">
        <f t="shared" si="42"/>
        <v>46313</v>
      </c>
      <c r="K122" s="207" t="str">
        <f t="shared" si="48"/>
        <v/>
      </c>
      <c r="L122" s="153" t="s">
        <v>137</v>
      </c>
      <c r="M122" s="254">
        <f>IF(L122=$Y$103,MAX($M$10:M121)+1,0)</f>
        <v>0</v>
      </c>
      <c r="N122" s="261">
        <f>IF(L122=$Y$119,MAX($N$10:N121)+1,0)</f>
        <v>0</v>
      </c>
      <c r="O122" s="224" t="s">
        <v>98</v>
      </c>
      <c r="P122" s="130" t="s">
        <v>118</v>
      </c>
      <c r="Q122" s="135" t="str">
        <f t="shared" si="53"/>
        <v>8</v>
      </c>
      <c r="R122" s="132"/>
      <c r="S122" s="134" t="str">
        <f t="shared" si="44"/>
        <v/>
      </c>
      <c r="T122" s="133"/>
      <c r="V122" s="58">
        <f t="shared" si="37"/>
        <v>20</v>
      </c>
      <c r="X122" s="266">
        <v>1</v>
      </c>
      <c r="Y122" s="269">
        <f t="shared" ref="Y122:Y131" si="57">IF(COUNTIF($N$10:$N$168,X122)=0,0,INDEX($C$10:$C$168,MATCH(X122,$N$10:$N$168,0)))</f>
        <v>137.47</v>
      </c>
      <c r="Z122" s="256"/>
      <c r="AA122" s="258">
        <f t="shared" ref="AA122:AA131" si="58">IF(COUNTIF($N$10:$N$168,X122)=0,0,INDEX($D$10:$D$168,MATCH(X122,$N$10:$N$168,0)))</f>
        <v>46245</v>
      </c>
      <c r="AB122" s="257"/>
      <c r="AC122" s="740" t="str">
        <f t="shared" ref="AC122:AC131" si="59">IF(COUNTIF($N$10:$N$168,X122)=0,0,INDEX($E$10:$E$168,MATCH(X122,$N$10:$N$168,0)))</f>
        <v>Shopee</v>
      </c>
      <c r="AD122" s="741"/>
      <c r="AE122" s="282" t="str">
        <f>IFERROR(IF(INDEX($R$10:$R$168,MATCH(X122,$N$10:$N$168,0))&lt;&gt;"","Sim","Não"),"")</f>
        <v>Não</v>
      </c>
      <c r="AJ122" s="18"/>
      <c r="AK122" s="10"/>
      <c r="AL122" s="10"/>
      <c r="AM122" s="10"/>
      <c r="AN122" s="200">
        <f t="shared" si="54"/>
        <v>0</v>
      </c>
      <c r="AO122" s="196">
        <f t="shared" si="38"/>
        <v>0</v>
      </c>
      <c r="AP122" s="33" t="str">
        <f t="shared" si="39"/>
        <v/>
      </c>
      <c r="AQ122" s="99">
        <f t="shared" si="55"/>
        <v>0</v>
      </c>
      <c r="AR122" s="103"/>
      <c r="AS122" s="109"/>
      <c r="AT122" s="101"/>
      <c r="AU122" s="48"/>
    </row>
    <row r="123" spans="1:47" ht="15" customHeight="1">
      <c r="A123" s="54">
        <f t="shared" si="56"/>
        <v>1</v>
      </c>
      <c r="B123" s="73">
        <f t="shared" si="35"/>
        <v>114</v>
      </c>
      <c r="C123" s="182">
        <v>25</v>
      </c>
      <c r="D123" s="191">
        <v>46293</v>
      </c>
      <c r="E123" s="185" t="s">
        <v>5</v>
      </c>
      <c r="G123" s="58" t="str">
        <f t="shared" ref="G123" si="60">IF(OR(C123="",I123="Pago"),"",C123)</f>
        <v/>
      </c>
      <c r="I123" s="130" t="s">
        <v>2</v>
      </c>
      <c r="J123" s="207">
        <f t="shared" ref="J123" si="61">C123+D123</f>
        <v>46318</v>
      </c>
      <c r="K123" s="207" t="str">
        <f t="shared" ref="K123" si="62">IFERROR(VLOOKUP(J123,$AO$5:$AO$173,1,0),"")</f>
        <v/>
      </c>
      <c r="L123" s="153" t="s">
        <v>5</v>
      </c>
      <c r="M123" s="254">
        <f>IF(L123=$Y$103,MAX($M$10:M122)+1,0)</f>
        <v>0</v>
      </c>
      <c r="N123" s="261">
        <f>IF(L123=$Y$119,MAX($N$10:N122)+1,0)</f>
        <v>9</v>
      </c>
      <c r="O123" s="224" t="s">
        <v>94</v>
      </c>
      <c r="P123" s="130" t="s">
        <v>118</v>
      </c>
      <c r="Q123" s="135" t="str">
        <f t="shared" ref="Q123" si="63">IF(P123="AV","8",IF(AND(J123=0,K123=0),"",IF(J123=K123,"P",IF(J123&lt;&gt;K123,"O"))))</f>
        <v>8</v>
      </c>
      <c r="R123" s="132"/>
      <c r="S123" s="134" t="str">
        <f t="shared" si="44"/>
        <v/>
      </c>
      <c r="T123" s="133"/>
      <c r="V123" s="58">
        <f t="shared" si="37"/>
        <v>25</v>
      </c>
      <c r="X123" s="267">
        <v>2</v>
      </c>
      <c r="Y123" s="52">
        <f t="shared" si="57"/>
        <v>240.59</v>
      </c>
      <c r="Z123" s="244"/>
      <c r="AA123" s="259">
        <f t="shared" si="58"/>
        <v>46245</v>
      </c>
      <c r="AB123" s="245"/>
      <c r="AC123" s="730" t="str">
        <f t="shared" si="59"/>
        <v>Shein</v>
      </c>
      <c r="AD123" s="731"/>
      <c r="AE123" s="283" t="str">
        <f t="shared" ref="AE123:AE131" si="64">IFERROR(IF(INDEX($R$10:$R$168,MATCH(X123,$N$10:$N$168,0))&lt;&gt;"","Sim","Não"),"")</f>
        <v>Não</v>
      </c>
      <c r="AJ123" s="18"/>
      <c r="AK123" s="10"/>
      <c r="AL123" s="10"/>
      <c r="AM123" s="10"/>
      <c r="AN123" s="200">
        <f t="shared" si="54"/>
        <v>0</v>
      </c>
      <c r="AO123" s="196">
        <f t="shared" si="38"/>
        <v>0</v>
      </c>
      <c r="AP123" s="33" t="str">
        <f t="shared" si="39"/>
        <v/>
      </c>
      <c r="AQ123" s="99">
        <f t="shared" si="55"/>
        <v>0</v>
      </c>
      <c r="AR123" s="103"/>
      <c r="AS123" s="109"/>
      <c r="AT123" s="101"/>
      <c r="AU123" s="48"/>
    </row>
    <row r="124" spans="1:47" ht="15" customHeight="1">
      <c r="A124" s="54">
        <f t="shared" si="56"/>
        <v>1</v>
      </c>
      <c r="B124" s="73">
        <f t="shared" si="35"/>
        <v>115</v>
      </c>
      <c r="C124" s="182">
        <v>40</v>
      </c>
      <c r="D124" s="191">
        <v>46293</v>
      </c>
      <c r="E124" s="185" t="s">
        <v>380</v>
      </c>
      <c r="G124" s="58" t="str">
        <f t="shared" si="43"/>
        <v/>
      </c>
      <c r="I124" s="130" t="s">
        <v>2</v>
      </c>
      <c r="J124" s="207">
        <f t="shared" si="42"/>
        <v>46333</v>
      </c>
      <c r="K124" s="207" t="str">
        <f t="shared" si="48"/>
        <v/>
      </c>
      <c r="L124" s="153" t="s">
        <v>7</v>
      </c>
      <c r="M124" s="254">
        <f>IF(L124=$Y$103,MAX($M$10:M123)+1,0)</f>
        <v>0</v>
      </c>
      <c r="N124" s="261">
        <f>IF(L124=$Y$119,MAX($N$10:N123)+1,0)</f>
        <v>0</v>
      </c>
      <c r="O124" s="224" t="s">
        <v>94</v>
      </c>
      <c r="P124" s="130" t="s">
        <v>118</v>
      </c>
      <c r="Q124" s="135" t="str">
        <f t="shared" si="53"/>
        <v>8</v>
      </c>
      <c r="R124" s="132"/>
      <c r="S124" s="134" t="str">
        <f t="shared" ref="S124:S167" si="65">IF(R124="","","de")</f>
        <v/>
      </c>
      <c r="T124" s="133"/>
      <c r="V124" s="58">
        <f t="shared" si="37"/>
        <v>40</v>
      </c>
      <c r="X124" s="267">
        <v>3</v>
      </c>
      <c r="Y124" s="52">
        <f t="shared" si="57"/>
        <v>63</v>
      </c>
      <c r="Z124" s="244"/>
      <c r="AA124" s="259">
        <f t="shared" si="58"/>
        <v>46246</v>
      </c>
      <c r="AB124" s="245"/>
      <c r="AC124" s="730" t="str">
        <f t="shared" si="59"/>
        <v>Shopee</v>
      </c>
      <c r="AD124" s="731"/>
      <c r="AE124" s="283" t="str">
        <f t="shared" si="64"/>
        <v>Não</v>
      </c>
      <c r="AJ124" s="18"/>
      <c r="AK124" s="10"/>
      <c r="AL124" s="10"/>
      <c r="AM124" s="10"/>
      <c r="AN124" s="200">
        <f t="shared" si="54"/>
        <v>0</v>
      </c>
      <c r="AO124" s="196">
        <f t="shared" si="38"/>
        <v>0</v>
      </c>
      <c r="AP124" s="33" t="str">
        <f t="shared" si="39"/>
        <v/>
      </c>
      <c r="AQ124" s="99">
        <f t="shared" si="55"/>
        <v>0</v>
      </c>
      <c r="AR124" s="103"/>
      <c r="AS124" s="109"/>
      <c r="AT124" s="101"/>
      <c r="AU124" s="48"/>
    </row>
    <row r="125" spans="1:47" ht="15" customHeight="1">
      <c r="A125" s="54">
        <f t="shared" si="56"/>
        <v>1</v>
      </c>
      <c r="B125" s="73">
        <f t="shared" si="35"/>
        <v>116</v>
      </c>
      <c r="C125" s="182">
        <v>26.6</v>
      </c>
      <c r="D125" s="191">
        <v>46294</v>
      </c>
      <c r="E125" s="185" t="s">
        <v>333</v>
      </c>
      <c r="G125" s="58" t="str">
        <f t="shared" si="43"/>
        <v/>
      </c>
      <c r="I125" s="130" t="s">
        <v>2</v>
      </c>
      <c r="J125" s="207">
        <f t="shared" si="42"/>
        <v>46320.6</v>
      </c>
      <c r="K125" s="207" t="str">
        <f t="shared" si="48"/>
        <v/>
      </c>
      <c r="L125" s="153" t="s">
        <v>145</v>
      </c>
      <c r="M125" s="254">
        <f>IF(L125=$Y$103,MAX($M$10:M124)+1,0)</f>
        <v>0</v>
      </c>
      <c r="N125" s="261">
        <f>IF(L125=$Y$119,MAX($N$10:N124)+1,0)</f>
        <v>0</v>
      </c>
      <c r="O125" s="224" t="s">
        <v>94</v>
      </c>
      <c r="P125" s="130" t="s">
        <v>118</v>
      </c>
      <c r="Q125" s="135" t="str">
        <f t="shared" si="53"/>
        <v>8</v>
      </c>
      <c r="R125" s="132"/>
      <c r="S125" s="134" t="str">
        <f t="shared" si="65"/>
        <v/>
      </c>
      <c r="T125" s="133"/>
      <c r="V125" s="58">
        <f t="shared" si="37"/>
        <v>26.6</v>
      </c>
      <c r="X125" s="267">
        <v>4</v>
      </c>
      <c r="Y125" s="52">
        <f t="shared" si="57"/>
        <v>30.36</v>
      </c>
      <c r="Z125" s="244"/>
      <c r="AA125" s="259">
        <f t="shared" si="58"/>
        <v>46246</v>
      </c>
      <c r="AB125" s="245"/>
      <c r="AC125" s="730" t="str">
        <f t="shared" si="59"/>
        <v>Shopee</v>
      </c>
      <c r="AD125" s="731"/>
      <c r="AE125" s="283" t="str">
        <f t="shared" si="64"/>
        <v>Não</v>
      </c>
      <c r="AJ125" s="18"/>
      <c r="AK125" s="10"/>
      <c r="AL125" s="10"/>
      <c r="AM125" s="10"/>
      <c r="AN125" s="200">
        <f t="shared" si="54"/>
        <v>0</v>
      </c>
      <c r="AO125" s="196">
        <f t="shared" si="38"/>
        <v>0</v>
      </c>
      <c r="AP125" s="33" t="str">
        <f t="shared" si="39"/>
        <v/>
      </c>
      <c r="AQ125" s="99">
        <f t="shared" si="55"/>
        <v>0</v>
      </c>
      <c r="AR125" s="103"/>
      <c r="AS125" s="109"/>
      <c r="AT125" s="101"/>
      <c r="AU125" s="48"/>
    </row>
    <row r="126" spans="1:47" ht="15" customHeight="1">
      <c r="A126" s="54">
        <f t="shared" si="56"/>
        <v>1</v>
      </c>
      <c r="B126" s="73">
        <f t="shared" si="35"/>
        <v>117</v>
      </c>
      <c r="C126" s="182">
        <v>15</v>
      </c>
      <c r="D126" s="191">
        <v>46293</v>
      </c>
      <c r="E126" s="185" t="s">
        <v>10</v>
      </c>
      <c r="G126" s="58" t="str">
        <f t="shared" ref="G126" si="66">IF(OR(C126="",I126="Pago"),"",C126)</f>
        <v/>
      </c>
      <c r="I126" s="130" t="s">
        <v>2</v>
      </c>
      <c r="J126" s="207">
        <f t="shared" ref="J126" si="67">C126+D126</f>
        <v>46308</v>
      </c>
      <c r="K126" s="207" t="str">
        <f t="shared" ref="K126" si="68">IFERROR(VLOOKUP(J126,$AO$5:$AO$173,1,0),"")</f>
        <v/>
      </c>
      <c r="L126" s="153" t="s">
        <v>137</v>
      </c>
      <c r="M126" s="254">
        <f>IF(L126=$Y$103,MAX($M$10:M125)+1,0)</f>
        <v>0</v>
      </c>
      <c r="N126" s="261">
        <f>IF(L126=$Y$119,MAX($N$10:N125)+1,0)</f>
        <v>0</v>
      </c>
      <c r="O126" s="224" t="s">
        <v>98</v>
      </c>
      <c r="P126" s="130" t="s">
        <v>118</v>
      </c>
      <c r="Q126" s="135" t="str">
        <f t="shared" ref="Q126" si="69">IF(P126="AV","8",IF(AND(J126=0,K126=0),"",IF(J126=K126,"P",IF(J126&lt;&gt;K126,"O"))))</f>
        <v>8</v>
      </c>
      <c r="R126" s="132"/>
      <c r="S126" s="134" t="str">
        <f t="shared" si="65"/>
        <v/>
      </c>
      <c r="T126" s="133"/>
      <c r="V126" s="58">
        <f t="shared" ref="V126" si="70">IF(I126="Pago",C126,"")</f>
        <v>15</v>
      </c>
      <c r="X126" s="267">
        <v>5</v>
      </c>
      <c r="Y126" s="52">
        <f t="shared" si="57"/>
        <v>66.64</v>
      </c>
      <c r="Z126" s="244"/>
      <c r="AA126" s="259">
        <f t="shared" si="58"/>
        <v>46246</v>
      </c>
      <c r="AB126" s="245"/>
      <c r="AC126" s="730" t="str">
        <f t="shared" si="59"/>
        <v>Shopee</v>
      </c>
      <c r="AD126" s="731"/>
      <c r="AE126" s="283" t="str">
        <f t="shared" si="64"/>
        <v>Não</v>
      </c>
      <c r="AJ126" s="18"/>
      <c r="AK126" s="10"/>
      <c r="AL126" s="10"/>
      <c r="AM126" s="10"/>
      <c r="AN126" s="200">
        <f t="shared" si="54"/>
        <v>0</v>
      </c>
      <c r="AO126" s="196">
        <f t="shared" si="38"/>
        <v>0</v>
      </c>
      <c r="AP126" s="33" t="str">
        <f t="shared" si="39"/>
        <v/>
      </c>
      <c r="AQ126" s="99">
        <f t="shared" si="55"/>
        <v>0</v>
      </c>
      <c r="AR126" s="103"/>
      <c r="AS126" s="109"/>
      <c r="AT126" s="101"/>
      <c r="AU126" s="48"/>
    </row>
    <row r="127" spans="1:47" ht="15" customHeight="1">
      <c r="A127" s="54">
        <f t="shared" si="56"/>
        <v>1</v>
      </c>
      <c r="B127" s="73">
        <f>IF(C127="","",B126+1)</f>
        <v>118</v>
      </c>
      <c r="C127" s="182">
        <v>63</v>
      </c>
      <c r="D127" s="191">
        <v>46295</v>
      </c>
      <c r="E127" s="185" t="s">
        <v>334</v>
      </c>
      <c r="G127" s="58" t="str">
        <f>IF(OR(C127="",I127="Pago"),"",C127)</f>
        <v/>
      </c>
      <c r="I127" s="130" t="s">
        <v>2</v>
      </c>
      <c r="J127" s="207">
        <f>C127+D127</f>
        <v>46358</v>
      </c>
      <c r="K127" s="207" t="str">
        <f t="shared" si="48"/>
        <v/>
      </c>
      <c r="L127" s="153" t="s">
        <v>137</v>
      </c>
      <c r="M127" s="254">
        <f>IF(L127=$Y$103,MAX($M$10:M126)+1,0)</f>
        <v>0</v>
      </c>
      <c r="N127" s="261">
        <f>IF(L127=$Y$119,MAX($N$10:N126)+1,0)</f>
        <v>0</v>
      </c>
      <c r="O127" s="224" t="s">
        <v>94</v>
      </c>
      <c r="P127" s="130" t="s">
        <v>118</v>
      </c>
      <c r="Q127" s="135" t="str">
        <f t="shared" si="53"/>
        <v>8</v>
      </c>
      <c r="R127" s="132"/>
      <c r="S127" s="134" t="str">
        <f t="shared" si="65"/>
        <v/>
      </c>
      <c r="T127" s="133"/>
      <c r="V127" s="58">
        <f>IF(I127="Pago",C127,"")</f>
        <v>63</v>
      </c>
      <c r="X127" s="267">
        <v>6</v>
      </c>
      <c r="Y127" s="52">
        <f t="shared" si="57"/>
        <v>236.93</v>
      </c>
      <c r="Z127" s="244"/>
      <c r="AA127" s="259">
        <f t="shared" si="58"/>
        <v>46255</v>
      </c>
      <c r="AB127" s="245"/>
      <c r="AC127" s="730" t="str">
        <f t="shared" si="59"/>
        <v>Shein</v>
      </c>
      <c r="AD127" s="731"/>
      <c r="AE127" s="283" t="str">
        <f t="shared" si="64"/>
        <v>Não</v>
      </c>
      <c r="AJ127" s="18"/>
      <c r="AK127" s="10"/>
      <c r="AL127" s="10"/>
      <c r="AM127" s="10"/>
      <c r="AN127" s="200">
        <f t="shared" si="54"/>
        <v>0</v>
      </c>
      <c r="AO127" s="196">
        <f t="shared" si="38"/>
        <v>0</v>
      </c>
      <c r="AP127" s="33" t="str">
        <f t="shared" si="39"/>
        <v/>
      </c>
      <c r="AQ127" s="99">
        <f t="shared" si="55"/>
        <v>0</v>
      </c>
      <c r="AR127" s="103"/>
      <c r="AS127" s="109"/>
      <c r="AT127" s="101"/>
      <c r="AU127" s="48"/>
    </row>
    <row r="128" spans="1:47" ht="15" customHeight="1">
      <c r="A128" s="54">
        <f t="shared" si="56"/>
        <v>1</v>
      </c>
      <c r="B128" s="73">
        <f>IF(C128="","",B127+1)</f>
        <v>119</v>
      </c>
      <c r="C128" s="182">
        <v>23.39</v>
      </c>
      <c r="D128" s="191">
        <v>46295</v>
      </c>
      <c r="E128" s="185" t="s">
        <v>27</v>
      </c>
      <c r="G128" s="58" t="str">
        <f>IF(OR(C128="",I128="Pago"),"",C128)</f>
        <v/>
      </c>
      <c r="I128" s="130" t="s">
        <v>2</v>
      </c>
      <c r="J128" s="207">
        <f>C128+D128</f>
        <v>46318.39</v>
      </c>
      <c r="K128" s="207" t="str">
        <f t="shared" si="48"/>
        <v/>
      </c>
      <c r="L128" s="153" t="s">
        <v>27</v>
      </c>
      <c r="M128" s="254">
        <f>IF(L128=$Y$103,MAX($M$10:M127)+1,0)</f>
        <v>0</v>
      </c>
      <c r="N128" s="261">
        <f>IF(L128=$Y$119,MAX($N$10:N127)+1,0)</f>
        <v>0</v>
      </c>
      <c r="O128" s="224" t="s">
        <v>94</v>
      </c>
      <c r="P128" s="130" t="s">
        <v>118</v>
      </c>
      <c r="Q128" s="135" t="str">
        <f t="shared" si="53"/>
        <v>8</v>
      </c>
      <c r="R128" s="132"/>
      <c r="S128" s="134" t="str">
        <f t="shared" si="65"/>
        <v/>
      </c>
      <c r="T128" s="133"/>
      <c r="V128" s="58">
        <f>IF(I128="Pago",C128,"")</f>
        <v>23.39</v>
      </c>
      <c r="X128" s="267">
        <v>7</v>
      </c>
      <c r="Y128" s="52">
        <f t="shared" si="57"/>
        <v>89.64</v>
      </c>
      <c r="Z128" s="244"/>
      <c r="AA128" s="259">
        <f t="shared" si="58"/>
        <v>46257</v>
      </c>
      <c r="AB128" s="245"/>
      <c r="AC128" s="730" t="str">
        <f t="shared" si="59"/>
        <v>shopee *brechochik01/06</v>
      </c>
      <c r="AD128" s="731"/>
      <c r="AE128" s="283" t="str">
        <f t="shared" si="64"/>
        <v>Sim</v>
      </c>
      <c r="AJ128" s="18"/>
      <c r="AK128" s="10"/>
      <c r="AL128" s="10"/>
      <c r="AM128" s="10"/>
      <c r="AN128" s="200">
        <f t="shared" si="54"/>
        <v>0</v>
      </c>
      <c r="AO128" s="196">
        <f t="shared" si="38"/>
        <v>0</v>
      </c>
      <c r="AP128" s="33" t="str">
        <f t="shared" si="39"/>
        <v/>
      </c>
      <c r="AQ128" s="99">
        <f t="shared" si="55"/>
        <v>0</v>
      </c>
      <c r="AR128" s="103"/>
      <c r="AS128" s="109"/>
      <c r="AT128" s="101"/>
      <c r="AU128" s="48"/>
    </row>
    <row r="129" spans="1:47" ht="15" customHeight="1">
      <c r="A129" s="54" t="str">
        <f>IF(B149&lt;&gt;"",1,"")</f>
        <v/>
      </c>
      <c r="B129" s="73">
        <f t="shared" si="35"/>
        <v>120</v>
      </c>
      <c r="C129" s="182">
        <v>10.5</v>
      </c>
      <c r="D129" s="191">
        <v>46296</v>
      </c>
      <c r="E129" s="185" t="s">
        <v>335</v>
      </c>
      <c r="G129" s="58" t="str">
        <f t="shared" si="43"/>
        <v/>
      </c>
      <c r="I129" s="130" t="s">
        <v>2</v>
      </c>
      <c r="J129" s="207">
        <f t="shared" si="42"/>
        <v>46306.5</v>
      </c>
      <c r="K129" s="207" t="str">
        <f t="shared" si="48"/>
        <v/>
      </c>
      <c r="L129" s="153" t="s">
        <v>7</v>
      </c>
      <c r="M129" s="254">
        <f>IF(L129=$Y$103,MAX($M$10:M128)+1,0)</f>
        <v>0</v>
      </c>
      <c r="N129" s="261">
        <f>IF(L129=$Y$119,MAX($N$10:N128)+1,0)</f>
        <v>0</v>
      </c>
      <c r="O129" s="224" t="s">
        <v>94</v>
      </c>
      <c r="P129" s="130" t="s">
        <v>118</v>
      </c>
      <c r="Q129" s="135" t="str">
        <f t="shared" si="53"/>
        <v>8</v>
      </c>
      <c r="R129" s="132"/>
      <c r="S129" s="134" t="str">
        <f t="shared" si="65"/>
        <v/>
      </c>
      <c r="T129" s="133"/>
      <c r="V129" s="58">
        <f t="shared" si="37"/>
        <v>10.5</v>
      </c>
      <c r="X129" s="267">
        <v>8</v>
      </c>
      <c r="Y129" s="52">
        <f t="shared" si="57"/>
        <v>236.93</v>
      </c>
      <c r="Z129" s="244"/>
      <c r="AA129" s="259">
        <f t="shared" si="58"/>
        <v>46255</v>
      </c>
      <c r="AB129" s="245"/>
      <c r="AC129" s="730" t="str">
        <f t="shared" si="59"/>
        <v>shein *shein.com</v>
      </c>
      <c r="AD129" s="731"/>
      <c r="AE129" s="283" t="str">
        <f t="shared" si="64"/>
        <v>Não</v>
      </c>
      <c r="AJ129" s="18"/>
      <c r="AK129" s="10"/>
      <c r="AL129" s="10"/>
      <c r="AM129" s="10"/>
      <c r="AN129" s="201">
        <f t="shared" si="54"/>
        <v>46470</v>
      </c>
      <c r="AO129" s="203">
        <f t="shared" si="38"/>
        <v>46470</v>
      </c>
      <c r="AP129" s="115" t="str">
        <f t="shared" si="39"/>
        <v>P</v>
      </c>
      <c r="AQ129" s="164" t="str">
        <f t="shared" si="55"/>
        <v>Guto</v>
      </c>
      <c r="AR129" s="218">
        <v>46118</v>
      </c>
      <c r="AS129" s="289" t="s">
        <v>192</v>
      </c>
      <c r="AT129" s="163">
        <v>352</v>
      </c>
      <c r="AU129" s="116"/>
    </row>
    <row r="130" spans="1:47" ht="15" customHeight="1">
      <c r="A130" s="54" t="str">
        <f>IF(B200&lt;&gt;"",1,"")</f>
        <v/>
      </c>
      <c r="B130" s="73">
        <f t="shared" si="35"/>
        <v>121</v>
      </c>
      <c r="C130" s="182">
        <v>150</v>
      </c>
      <c r="D130" s="191">
        <v>46297</v>
      </c>
      <c r="E130" s="185" t="s">
        <v>347</v>
      </c>
      <c r="G130" s="58" t="str">
        <f t="shared" si="43"/>
        <v/>
      </c>
      <c r="I130" s="130" t="s">
        <v>2</v>
      </c>
      <c r="J130" s="207">
        <f t="shared" si="42"/>
        <v>46447</v>
      </c>
      <c r="K130" s="207" t="str">
        <f t="shared" si="48"/>
        <v/>
      </c>
      <c r="L130" s="153" t="s">
        <v>86</v>
      </c>
      <c r="M130" s="254">
        <f>IF(L130=$Y$103,MAX($M$10:M129)+1,0)</f>
        <v>0</v>
      </c>
      <c r="N130" s="261">
        <f>IF(L130=$Y$119,MAX($N$10:N129)+1,0)</f>
        <v>0</v>
      </c>
      <c r="O130" s="224" t="s">
        <v>94</v>
      </c>
      <c r="P130" s="130" t="s">
        <v>118</v>
      </c>
      <c r="Q130" s="135" t="str">
        <f t="shared" si="53"/>
        <v>8</v>
      </c>
      <c r="R130" s="132"/>
      <c r="S130" s="134" t="str">
        <f t="shared" si="65"/>
        <v/>
      </c>
      <c r="T130" s="133"/>
      <c r="V130" s="58">
        <f t="shared" si="37"/>
        <v>150</v>
      </c>
      <c r="X130" s="267">
        <v>9</v>
      </c>
      <c r="Y130" s="52">
        <f t="shared" si="57"/>
        <v>25</v>
      </c>
      <c r="Z130" s="244"/>
      <c r="AA130" s="259">
        <f t="shared" si="58"/>
        <v>46293</v>
      </c>
      <c r="AB130" s="245"/>
      <c r="AC130" s="730" t="str">
        <f t="shared" si="59"/>
        <v>Flavia</v>
      </c>
      <c r="AD130" s="731"/>
      <c r="AE130" s="283" t="str">
        <f t="shared" si="64"/>
        <v>Não</v>
      </c>
      <c r="AJ130" s="18"/>
      <c r="AK130" s="10"/>
      <c r="AL130" s="10"/>
      <c r="AM130" s="10"/>
      <c r="AN130" s="10"/>
      <c r="AO130" s="10"/>
      <c r="AP130" s="10"/>
      <c r="AQ130" s="10"/>
      <c r="AR130" s="565">
        <f>SUM(AT110:AT129)</f>
        <v>352</v>
      </c>
      <c r="AS130" s="566"/>
      <c r="AT130" s="567"/>
    </row>
    <row r="131" spans="1:47" ht="15" customHeight="1">
      <c r="B131" s="73">
        <f t="shared" si="35"/>
        <v>122</v>
      </c>
      <c r="C131" s="182">
        <v>50</v>
      </c>
      <c r="D131" s="191">
        <v>46297</v>
      </c>
      <c r="E131" s="185" t="s">
        <v>348</v>
      </c>
      <c r="G131" s="58" t="str">
        <f t="shared" si="43"/>
        <v/>
      </c>
      <c r="I131" s="130" t="s">
        <v>2</v>
      </c>
      <c r="J131" s="207">
        <f t="shared" si="42"/>
        <v>46347</v>
      </c>
      <c r="K131" s="207">
        <f t="shared" si="48"/>
        <v>46347</v>
      </c>
      <c r="L131" s="153" t="s">
        <v>13</v>
      </c>
      <c r="M131" s="254">
        <f>IF(L131=$Y$103,MAX($M$10:M130)+1,0)</f>
        <v>0</v>
      </c>
      <c r="N131" s="261">
        <f>IF(L131=$Y$119,MAX($N$10:N130)+1,0)</f>
        <v>0</v>
      </c>
      <c r="O131" s="224" t="s">
        <v>94</v>
      </c>
      <c r="P131" s="130" t="s">
        <v>118</v>
      </c>
      <c r="Q131" s="135" t="str">
        <f t="shared" si="53"/>
        <v>8</v>
      </c>
      <c r="R131" s="132"/>
      <c r="S131" s="134" t="str">
        <f t="shared" si="65"/>
        <v/>
      </c>
      <c r="T131" s="133"/>
      <c r="V131" s="58">
        <f t="shared" si="37"/>
        <v>50</v>
      </c>
      <c r="X131" s="268">
        <v>10</v>
      </c>
      <c r="Y131" s="52">
        <f t="shared" si="57"/>
        <v>0</v>
      </c>
      <c r="Z131" s="246"/>
      <c r="AA131" s="260">
        <f t="shared" si="58"/>
        <v>0</v>
      </c>
      <c r="AB131" s="247"/>
      <c r="AC131" s="732">
        <f t="shared" si="59"/>
        <v>0</v>
      </c>
      <c r="AD131" s="733"/>
      <c r="AE131" s="284" t="str">
        <f t="shared" si="64"/>
        <v/>
      </c>
      <c r="AJ131" s="18"/>
      <c r="AK131" s="10"/>
      <c r="AL131" s="10"/>
      <c r="AM131" s="10"/>
      <c r="AN131" s="10"/>
      <c r="AO131" s="10"/>
      <c r="AP131" s="10"/>
      <c r="AQ131" s="10"/>
      <c r="AR131" s="565"/>
      <c r="AS131" s="566"/>
      <c r="AT131" s="567"/>
    </row>
    <row r="132" spans="1:47" ht="15" customHeight="1">
      <c r="B132" s="73">
        <f t="shared" si="35"/>
        <v>123</v>
      </c>
      <c r="C132" s="182">
        <v>24</v>
      </c>
      <c r="D132" s="191">
        <v>46300</v>
      </c>
      <c r="E132" s="185" t="s">
        <v>349</v>
      </c>
      <c r="G132" s="58" t="str">
        <f t="shared" si="43"/>
        <v/>
      </c>
      <c r="I132" s="130" t="s">
        <v>2</v>
      </c>
      <c r="J132" s="207">
        <f t="shared" si="42"/>
        <v>46324</v>
      </c>
      <c r="K132" s="207" t="str">
        <f t="shared" si="48"/>
        <v/>
      </c>
      <c r="L132" s="153" t="s">
        <v>7</v>
      </c>
      <c r="M132" s="254">
        <f>IF(L132=$Y$103,MAX($M$10:M131)+1,0)</f>
        <v>0</v>
      </c>
      <c r="N132" s="261">
        <f>IF(L132=$Y$119,MAX($N$10:N131)+1,0)</f>
        <v>0</v>
      </c>
      <c r="O132" s="224" t="s">
        <v>94</v>
      </c>
      <c r="P132" s="130" t="s">
        <v>118</v>
      </c>
      <c r="Q132" s="135" t="str">
        <f t="shared" si="53"/>
        <v>8</v>
      </c>
      <c r="R132" s="132"/>
      <c r="S132" s="134" t="str">
        <f t="shared" si="65"/>
        <v/>
      </c>
      <c r="T132" s="133"/>
      <c r="V132" s="58">
        <f t="shared" si="37"/>
        <v>24</v>
      </c>
      <c r="Y132" s="734">
        <f>SUM(Y122:Y131)</f>
        <v>1126.56</v>
      </c>
      <c r="Z132" s="735"/>
      <c r="AA132" s="735"/>
      <c r="AB132" s="735"/>
      <c r="AC132" s="735"/>
      <c r="AD132" s="735"/>
      <c r="AE132" s="736"/>
      <c r="AJ132" s="18"/>
      <c r="AK132" s="10"/>
      <c r="AL132" s="10"/>
      <c r="AM132" s="10"/>
      <c r="AN132" s="199">
        <f t="shared" ref="AN132:AN151" si="71">IFERROR(VLOOKUP(AO132,$J$10:$J$199,1,0),"")</f>
        <v>0</v>
      </c>
      <c r="AO132" s="202">
        <f t="shared" si="38"/>
        <v>0</v>
      </c>
      <c r="AP132" s="114" t="str">
        <f t="shared" si="39"/>
        <v/>
      </c>
      <c r="AQ132" s="117">
        <f t="shared" ref="AQ132:AQ151" si="72">IFERROR(VLOOKUP(AO132,$J$10:$L$199,3,0),"")</f>
        <v>0</v>
      </c>
      <c r="AR132" s="103"/>
      <c r="AS132" s="109"/>
      <c r="AT132" s="101"/>
      <c r="AU132" s="568" t="s">
        <v>99</v>
      </c>
    </row>
    <row r="133" spans="1:47" ht="15" customHeight="1">
      <c r="B133" s="73">
        <f t="shared" si="35"/>
        <v>124</v>
      </c>
      <c r="C133" s="182">
        <v>50</v>
      </c>
      <c r="D133" s="191">
        <v>46300</v>
      </c>
      <c r="E133" s="185" t="s">
        <v>350</v>
      </c>
      <c r="G133" s="58" t="str">
        <f t="shared" si="43"/>
        <v/>
      </c>
      <c r="I133" s="130" t="s">
        <v>2</v>
      </c>
      <c r="J133" s="207">
        <f t="shared" si="42"/>
        <v>46350</v>
      </c>
      <c r="K133" s="207">
        <f t="shared" si="48"/>
        <v>46350</v>
      </c>
      <c r="L133" s="153" t="s">
        <v>7</v>
      </c>
      <c r="M133" s="254">
        <f>IF(L133=$Y$103,MAX($M$10:M132)+1,0)</f>
        <v>0</v>
      </c>
      <c r="N133" s="261">
        <f>IF(L133=$Y$119,MAX($N$10:N132)+1,0)</f>
        <v>0</v>
      </c>
      <c r="O133" s="224" t="s">
        <v>94</v>
      </c>
      <c r="P133" s="130" t="s">
        <v>118</v>
      </c>
      <c r="Q133" s="135" t="str">
        <f t="shared" si="53"/>
        <v>8</v>
      </c>
      <c r="R133" s="132"/>
      <c r="S133" s="134" t="str">
        <f t="shared" si="65"/>
        <v/>
      </c>
      <c r="T133" s="133"/>
      <c r="V133" s="58">
        <f t="shared" si="37"/>
        <v>50</v>
      </c>
      <c r="Y133" s="737"/>
      <c r="Z133" s="738"/>
      <c r="AA133" s="738"/>
      <c r="AB133" s="738"/>
      <c r="AC133" s="738"/>
      <c r="AD133" s="738"/>
      <c r="AE133" s="739"/>
      <c r="AJ133" s="18"/>
      <c r="AK133" s="10"/>
      <c r="AL133" s="10"/>
      <c r="AM133" s="10"/>
      <c r="AN133" s="200">
        <f t="shared" si="71"/>
        <v>0</v>
      </c>
      <c r="AO133" s="196">
        <f t="shared" si="38"/>
        <v>0</v>
      </c>
      <c r="AP133" s="33" t="str">
        <f t="shared" si="39"/>
        <v/>
      </c>
      <c r="AQ133" s="99">
        <f t="shared" si="72"/>
        <v>0</v>
      </c>
      <c r="AR133" s="103"/>
      <c r="AS133" s="109"/>
      <c r="AT133" s="101"/>
      <c r="AU133" s="569"/>
    </row>
    <row r="134" spans="1:47" ht="15" customHeight="1">
      <c r="B134" s="73" t="str">
        <f t="shared" si="35"/>
        <v/>
      </c>
      <c r="C134" s="182"/>
      <c r="D134" s="191"/>
      <c r="E134" s="185"/>
      <c r="G134" s="58" t="str">
        <f t="shared" si="43"/>
        <v/>
      </c>
      <c r="I134" s="130"/>
      <c r="J134" s="207">
        <f t="shared" si="42"/>
        <v>0</v>
      </c>
      <c r="K134" s="207">
        <f t="shared" si="48"/>
        <v>0</v>
      </c>
      <c r="L134" s="153"/>
      <c r="M134" s="254">
        <f>IF(L134=$Y$103,MAX($M$10:M133)+1,0)</f>
        <v>0</v>
      </c>
      <c r="N134" s="261">
        <f>IF(L134=$Y$119,MAX($N$10:N133)+1,0)</f>
        <v>0</v>
      </c>
      <c r="O134" s="224"/>
      <c r="P134" s="130"/>
      <c r="Q134" s="135" t="str">
        <f t="shared" si="53"/>
        <v/>
      </c>
      <c r="R134" s="132"/>
      <c r="S134" s="134" t="str">
        <f t="shared" si="65"/>
        <v/>
      </c>
      <c r="T134" s="133"/>
      <c r="V134" s="58" t="str">
        <f t="shared" si="37"/>
        <v/>
      </c>
      <c r="AJ134" s="18"/>
      <c r="AK134" s="10"/>
      <c r="AL134" s="10"/>
      <c r="AM134" s="10"/>
      <c r="AN134" s="200">
        <f t="shared" si="71"/>
        <v>0</v>
      </c>
      <c r="AO134" s="196">
        <f t="shared" si="38"/>
        <v>0</v>
      </c>
      <c r="AP134" s="33" t="str">
        <f t="shared" si="39"/>
        <v/>
      </c>
      <c r="AQ134" s="99">
        <f t="shared" si="72"/>
        <v>0</v>
      </c>
      <c r="AR134" s="103"/>
      <c r="AS134" s="109"/>
      <c r="AT134" s="101"/>
      <c r="AU134" s="569"/>
    </row>
    <row r="135" spans="1:47" ht="15" customHeight="1">
      <c r="B135" s="73" t="str">
        <f t="shared" si="35"/>
        <v/>
      </c>
      <c r="C135" s="182"/>
      <c r="D135" s="191"/>
      <c r="E135" s="185"/>
      <c r="G135" s="58" t="str">
        <f t="shared" si="43"/>
        <v/>
      </c>
      <c r="I135" s="130"/>
      <c r="J135" s="207">
        <f t="shared" si="42"/>
        <v>0</v>
      </c>
      <c r="K135" s="207">
        <f t="shared" si="48"/>
        <v>0</v>
      </c>
      <c r="L135" s="153"/>
      <c r="M135" s="254">
        <f>IF(L135=$Y$103,MAX($M$10:M134)+1,0)</f>
        <v>0</v>
      </c>
      <c r="N135" s="261">
        <f>IF(L135=$Y$119,MAX($N$10:N134)+1,0)</f>
        <v>0</v>
      </c>
      <c r="O135" s="224"/>
      <c r="P135" s="130"/>
      <c r="Q135" s="135" t="str">
        <f t="shared" si="53"/>
        <v/>
      </c>
      <c r="R135" s="132"/>
      <c r="S135" s="134" t="str">
        <f t="shared" si="65"/>
        <v/>
      </c>
      <c r="T135" s="133"/>
      <c r="V135" s="58" t="str">
        <f t="shared" si="37"/>
        <v/>
      </c>
      <c r="AJ135" s="18"/>
      <c r="AK135" s="10"/>
      <c r="AL135" s="10"/>
      <c r="AM135" s="10"/>
      <c r="AN135" s="200">
        <f t="shared" si="71"/>
        <v>0</v>
      </c>
      <c r="AO135" s="196">
        <f t="shared" si="38"/>
        <v>0</v>
      </c>
      <c r="AP135" s="33" t="str">
        <f t="shared" si="39"/>
        <v/>
      </c>
      <c r="AQ135" s="99">
        <f t="shared" si="72"/>
        <v>0</v>
      </c>
      <c r="AR135" s="121"/>
      <c r="AS135" s="42"/>
      <c r="AT135" s="163"/>
      <c r="AU135" s="48"/>
    </row>
    <row r="136" spans="1:47" ht="15" customHeight="1">
      <c r="B136" s="73" t="str">
        <f t="shared" si="35"/>
        <v/>
      </c>
      <c r="C136" s="182"/>
      <c r="D136" s="191"/>
      <c r="E136" s="185"/>
      <c r="G136" s="58" t="str">
        <f t="shared" si="43"/>
        <v/>
      </c>
      <c r="I136" s="130"/>
      <c r="J136" s="207">
        <f t="shared" si="42"/>
        <v>0</v>
      </c>
      <c r="K136" s="207">
        <f t="shared" si="48"/>
        <v>0</v>
      </c>
      <c r="L136" s="153"/>
      <c r="M136" s="254">
        <f>IF(L136=$Y$103,MAX($M$10:M135)+1,0)</f>
        <v>0</v>
      </c>
      <c r="N136" s="261">
        <f>IF(L136=$Y$119,MAX($N$10:N135)+1,0)</f>
        <v>0</v>
      </c>
      <c r="O136" s="224"/>
      <c r="P136" s="130"/>
      <c r="Q136" s="135" t="str">
        <f t="shared" si="53"/>
        <v/>
      </c>
      <c r="R136" s="132"/>
      <c r="S136" s="134" t="str">
        <f t="shared" si="65"/>
        <v/>
      </c>
      <c r="T136" s="133"/>
      <c r="V136" s="58" t="str">
        <f t="shared" si="37"/>
        <v/>
      </c>
      <c r="AJ136" s="18"/>
      <c r="AK136" s="10"/>
      <c r="AL136" s="10"/>
      <c r="AM136" s="10"/>
      <c r="AN136" s="200">
        <f t="shared" si="71"/>
        <v>0</v>
      </c>
      <c r="AO136" s="196">
        <f t="shared" si="38"/>
        <v>0</v>
      </c>
      <c r="AP136" s="33" t="str">
        <f t="shared" si="39"/>
        <v/>
      </c>
      <c r="AQ136" s="99">
        <f t="shared" si="72"/>
        <v>0</v>
      </c>
      <c r="AR136" s="121"/>
      <c r="AS136" s="42"/>
      <c r="AT136" s="163"/>
      <c r="AU136" s="48"/>
    </row>
    <row r="137" spans="1:47" ht="15" customHeight="1">
      <c r="B137" s="73" t="str">
        <f t="shared" si="35"/>
        <v/>
      </c>
      <c r="C137" s="182"/>
      <c r="D137" s="191"/>
      <c r="E137" s="185"/>
      <c r="G137" s="58" t="str">
        <f t="shared" si="43"/>
        <v/>
      </c>
      <c r="I137" s="130"/>
      <c r="J137" s="207">
        <f t="shared" si="42"/>
        <v>0</v>
      </c>
      <c r="K137" s="207">
        <f t="shared" si="48"/>
        <v>0</v>
      </c>
      <c r="L137" s="153"/>
      <c r="M137" s="254">
        <f>IF(L137=$Y$103,MAX($M$10:M136)+1,0)</f>
        <v>0</v>
      </c>
      <c r="N137" s="261">
        <f>IF(L137=$Y$119,MAX($N$10:N136)+1,0)</f>
        <v>0</v>
      </c>
      <c r="O137" s="224"/>
      <c r="P137" s="130"/>
      <c r="Q137" s="135" t="str">
        <f t="shared" si="53"/>
        <v/>
      </c>
      <c r="R137" s="132"/>
      <c r="S137" s="134" t="str">
        <f t="shared" si="65"/>
        <v/>
      </c>
      <c r="T137" s="133"/>
      <c r="V137" s="58" t="str">
        <f t="shared" si="37"/>
        <v/>
      </c>
      <c r="AJ137" s="18"/>
      <c r="AK137" s="10"/>
      <c r="AL137" s="10"/>
      <c r="AM137" s="10"/>
      <c r="AN137" s="200">
        <f t="shared" si="71"/>
        <v>0</v>
      </c>
      <c r="AO137" s="196">
        <f t="shared" si="38"/>
        <v>0</v>
      </c>
      <c r="AP137" s="33" t="str">
        <f t="shared" si="39"/>
        <v/>
      </c>
      <c r="AQ137" s="99">
        <f t="shared" si="72"/>
        <v>0</v>
      </c>
      <c r="AR137" s="121"/>
      <c r="AS137" s="42"/>
      <c r="AT137" s="163"/>
      <c r="AU137" s="48"/>
    </row>
    <row r="138" spans="1:47" ht="15" customHeight="1">
      <c r="B138" s="73" t="str">
        <f t="shared" ref="B138:B168" si="73">IF(C138="","",B137+1)</f>
        <v/>
      </c>
      <c r="C138" s="182"/>
      <c r="D138" s="191"/>
      <c r="E138" s="185"/>
      <c r="G138" s="58" t="str">
        <f t="shared" si="43"/>
        <v/>
      </c>
      <c r="I138" s="130"/>
      <c r="J138" s="207">
        <f t="shared" si="42"/>
        <v>0</v>
      </c>
      <c r="K138" s="207">
        <f t="shared" ref="K138:K168" si="74">IFERROR(VLOOKUP(J138,$AO$5:$AO$173,1,0),"")</f>
        <v>0</v>
      </c>
      <c r="L138" s="153"/>
      <c r="M138" s="254">
        <f>IF(L138=$Y$103,MAX($M$10:M137)+1,0)</f>
        <v>0</v>
      </c>
      <c r="N138" s="261">
        <f>IF(L138=$Y$119,MAX($N$10:N137)+1,0)</f>
        <v>0</v>
      </c>
      <c r="O138" s="224"/>
      <c r="P138" s="130"/>
      <c r="Q138" s="135" t="str">
        <f t="shared" ref="Q138:Q167" si="75">IF(P138="AV","8",IF(AND(J138=0,K138=0),"",IF(J138=K138,"P",IF(J138&lt;&gt;K138,"O"))))</f>
        <v/>
      </c>
      <c r="R138" s="132"/>
      <c r="S138" s="134" t="str">
        <f t="shared" si="65"/>
        <v/>
      </c>
      <c r="T138" s="133"/>
      <c r="V138" s="58" t="str">
        <f t="shared" ref="V138:V141" si="76">IF(I138="Pago",C138,"")</f>
        <v/>
      </c>
      <c r="AJ138" s="18"/>
      <c r="AK138" s="10"/>
      <c r="AL138" s="10"/>
      <c r="AM138" s="10"/>
      <c r="AN138" s="200">
        <f t="shared" si="71"/>
        <v>0</v>
      </c>
      <c r="AO138" s="196">
        <f t="shared" si="38"/>
        <v>0</v>
      </c>
      <c r="AP138" s="33" t="str">
        <f t="shared" si="39"/>
        <v/>
      </c>
      <c r="AQ138" s="99">
        <f t="shared" si="72"/>
        <v>0</v>
      </c>
      <c r="AR138" s="121"/>
      <c r="AS138" s="42"/>
      <c r="AT138" s="163"/>
      <c r="AU138" s="48"/>
    </row>
    <row r="139" spans="1:47" ht="15" customHeight="1">
      <c r="B139" s="73" t="str">
        <f t="shared" si="73"/>
        <v/>
      </c>
      <c r="C139" s="182"/>
      <c r="D139" s="191"/>
      <c r="E139" s="185"/>
      <c r="G139" s="58" t="str">
        <f t="shared" si="43"/>
        <v/>
      </c>
      <c r="I139" s="130"/>
      <c r="J139" s="207">
        <f t="shared" si="42"/>
        <v>0</v>
      </c>
      <c r="K139" s="207">
        <f t="shared" si="74"/>
        <v>0</v>
      </c>
      <c r="L139" s="153"/>
      <c r="M139" s="254">
        <f>IF(L139=$Y$103,MAX($M$10:M138)+1,0)</f>
        <v>0</v>
      </c>
      <c r="N139" s="261">
        <f>IF(L139=$Y$119,MAX($N$10:N138)+1,0)</f>
        <v>0</v>
      </c>
      <c r="O139" s="224"/>
      <c r="P139" s="130"/>
      <c r="Q139" s="135" t="str">
        <f t="shared" si="75"/>
        <v/>
      </c>
      <c r="R139" s="132"/>
      <c r="S139" s="134" t="str">
        <f t="shared" si="65"/>
        <v/>
      </c>
      <c r="T139" s="133"/>
      <c r="V139" s="58" t="str">
        <f t="shared" si="76"/>
        <v/>
      </c>
      <c r="AA139" s="10"/>
      <c r="AB139" s="10"/>
      <c r="AE139" s="10"/>
      <c r="AJ139" s="18"/>
      <c r="AK139" s="10"/>
      <c r="AL139" s="10"/>
      <c r="AM139" s="10"/>
      <c r="AN139" s="200">
        <f t="shared" si="71"/>
        <v>0</v>
      </c>
      <c r="AO139" s="196">
        <f t="shared" si="38"/>
        <v>0</v>
      </c>
      <c r="AP139" s="33" t="str">
        <f t="shared" si="39"/>
        <v/>
      </c>
      <c r="AQ139" s="99">
        <f t="shared" si="72"/>
        <v>0</v>
      </c>
      <c r="AR139" s="121"/>
      <c r="AS139" s="42"/>
      <c r="AT139" s="163"/>
      <c r="AU139" s="48"/>
    </row>
    <row r="140" spans="1:47" ht="15" customHeight="1">
      <c r="B140" s="73" t="str">
        <f t="shared" si="73"/>
        <v/>
      </c>
      <c r="C140" s="182"/>
      <c r="D140" s="191"/>
      <c r="E140" s="185"/>
      <c r="G140" s="58" t="str">
        <f t="shared" si="43"/>
        <v/>
      </c>
      <c r="I140" s="130"/>
      <c r="J140" s="207">
        <f t="shared" si="42"/>
        <v>0</v>
      </c>
      <c r="K140" s="207">
        <f t="shared" si="74"/>
        <v>0</v>
      </c>
      <c r="L140" s="153"/>
      <c r="M140" s="254">
        <f>IF(L140=$Y$103,MAX($M$10:M139)+1,0)</f>
        <v>0</v>
      </c>
      <c r="N140" s="261">
        <f>IF(L140=$Y$119,MAX($N$10:N139)+1,0)</f>
        <v>0</v>
      </c>
      <c r="O140" s="224"/>
      <c r="P140" s="130"/>
      <c r="Q140" s="135" t="str">
        <f t="shared" si="75"/>
        <v/>
      </c>
      <c r="R140" s="132"/>
      <c r="S140" s="134" t="str">
        <f t="shared" si="65"/>
        <v/>
      </c>
      <c r="T140" s="133"/>
      <c r="V140" s="58" t="str">
        <f t="shared" si="76"/>
        <v/>
      </c>
      <c r="AA140" s="10"/>
      <c r="AB140" s="10"/>
      <c r="AE140" s="10"/>
      <c r="AJ140" s="18"/>
      <c r="AK140" s="10"/>
      <c r="AL140" s="10"/>
      <c r="AM140" s="10"/>
      <c r="AN140" s="200">
        <f t="shared" si="71"/>
        <v>0</v>
      </c>
      <c r="AO140" s="196">
        <f t="shared" si="38"/>
        <v>0</v>
      </c>
      <c r="AP140" s="33" t="str">
        <f t="shared" si="39"/>
        <v/>
      </c>
      <c r="AQ140" s="99">
        <f t="shared" si="72"/>
        <v>0</v>
      </c>
      <c r="AR140" s="121"/>
      <c r="AS140" s="42"/>
      <c r="AT140" s="163"/>
      <c r="AU140" s="48"/>
    </row>
    <row r="141" spans="1:47" ht="15" customHeight="1">
      <c r="B141" s="73" t="str">
        <f t="shared" si="73"/>
        <v/>
      </c>
      <c r="C141" s="182"/>
      <c r="D141" s="191"/>
      <c r="E141" s="185"/>
      <c r="G141" s="58" t="str">
        <f t="shared" ref="G141:G167" si="77">IF(OR(C141="",I141="Pago"),"",C141)</f>
        <v/>
      </c>
      <c r="I141" s="130"/>
      <c r="J141" s="207">
        <f t="shared" si="42"/>
        <v>0</v>
      </c>
      <c r="K141" s="207">
        <f t="shared" si="74"/>
        <v>0</v>
      </c>
      <c r="L141" s="153"/>
      <c r="M141" s="254">
        <f>IF(L141=$Y$103,MAX($M$10:M140)+1,0)</f>
        <v>0</v>
      </c>
      <c r="N141" s="261">
        <f>IF(L141=$Y$119,MAX($N$10:N140)+1,0)</f>
        <v>0</v>
      </c>
      <c r="O141" s="224"/>
      <c r="P141" s="130"/>
      <c r="Q141" s="135" t="str">
        <f t="shared" si="75"/>
        <v/>
      </c>
      <c r="R141" s="132"/>
      <c r="S141" s="134" t="str">
        <f t="shared" si="65"/>
        <v/>
      </c>
      <c r="T141" s="133"/>
      <c r="V141" s="58" t="str">
        <f t="shared" si="76"/>
        <v/>
      </c>
      <c r="AA141" s="10"/>
      <c r="AB141" s="10"/>
      <c r="AE141" s="10"/>
      <c r="AJ141" s="18"/>
      <c r="AK141" s="10"/>
      <c r="AL141" s="10"/>
      <c r="AM141" s="10"/>
      <c r="AN141" s="200">
        <f t="shared" si="71"/>
        <v>0</v>
      </c>
      <c r="AO141" s="196">
        <f t="shared" si="38"/>
        <v>0</v>
      </c>
      <c r="AP141" s="33" t="str">
        <f t="shared" si="39"/>
        <v/>
      </c>
      <c r="AQ141" s="99">
        <f t="shared" si="72"/>
        <v>0</v>
      </c>
      <c r="AR141" s="121"/>
      <c r="AS141" s="42"/>
      <c r="AT141" s="163"/>
      <c r="AU141" s="48"/>
    </row>
    <row r="142" spans="1:47" ht="15" customHeight="1">
      <c r="B142" s="73" t="str">
        <f t="shared" si="73"/>
        <v/>
      </c>
      <c r="C142" s="182"/>
      <c r="D142" s="191"/>
      <c r="E142" s="185"/>
      <c r="G142" s="58" t="str">
        <f t="shared" si="77"/>
        <v/>
      </c>
      <c r="I142" s="130"/>
      <c r="J142" s="207">
        <f t="shared" si="42"/>
        <v>0</v>
      </c>
      <c r="K142" s="207">
        <f t="shared" si="74"/>
        <v>0</v>
      </c>
      <c r="L142" s="153"/>
      <c r="M142" s="254">
        <f>IF(L142=$Y$103,MAX($M$10:M141)+1,0)</f>
        <v>0</v>
      </c>
      <c r="N142" s="261">
        <f>IF(L142=$Y$119,MAX($N$10:N141)+1,0)</f>
        <v>0</v>
      </c>
      <c r="O142" s="224"/>
      <c r="P142" s="130"/>
      <c r="Q142" s="135" t="str">
        <f t="shared" si="75"/>
        <v/>
      </c>
      <c r="R142" s="132"/>
      <c r="S142" s="134" t="str">
        <f t="shared" si="65"/>
        <v/>
      </c>
      <c r="T142" s="133"/>
      <c r="V142" s="58" t="str">
        <f t="shared" ref="V142:V147" si="78">IF(I141="Pago",C141,"")</f>
        <v/>
      </c>
      <c r="AJ142" s="18"/>
      <c r="AK142" s="10"/>
      <c r="AL142" s="10"/>
      <c r="AM142" s="10"/>
      <c r="AN142" s="200">
        <f t="shared" si="71"/>
        <v>0</v>
      </c>
      <c r="AO142" s="196">
        <f t="shared" si="38"/>
        <v>0</v>
      </c>
      <c r="AP142" s="33" t="str">
        <f t="shared" si="39"/>
        <v/>
      </c>
      <c r="AQ142" s="99">
        <f t="shared" si="72"/>
        <v>0</v>
      </c>
      <c r="AR142" s="121"/>
      <c r="AS142" s="42"/>
      <c r="AT142" s="163"/>
      <c r="AU142" s="48"/>
    </row>
    <row r="143" spans="1:47" ht="15" customHeight="1">
      <c r="B143" s="73" t="str">
        <f t="shared" si="73"/>
        <v/>
      </c>
      <c r="C143" s="182"/>
      <c r="D143" s="191"/>
      <c r="E143" s="185"/>
      <c r="G143" s="58" t="str">
        <f t="shared" si="77"/>
        <v/>
      </c>
      <c r="I143" s="130"/>
      <c r="J143" s="207">
        <f t="shared" si="42"/>
        <v>0</v>
      </c>
      <c r="K143" s="207">
        <f t="shared" si="74"/>
        <v>0</v>
      </c>
      <c r="L143" s="153"/>
      <c r="M143" s="254">
        <f>IF(L143=$Y$103,MAX($M$10:M142)+1,0)</f>
        <v>0</v>
      </c>
      <c r="N143" s="261">
        <f>IF(L143=$Y$119,MAX($N$10:N142)+1,0)</f>
        <v>0</v>
      </c>
      <c r="O143" s="224"/>
      <c r="P143" s="130"/>
      <c r="Q143" s="135" t="str">
        <f t="shared" si="75"/>
        <v/>
      </c>
      <c r="R143" s="132"/>
      <c r="S143" s="134" t="str">
        <f t="shared" si="65"/>
        <v/>
      </c>
      <c r="T143" s="133"/>
      <c r="V143" s="58" t="str">
        <f t="shared" si="78"/>
        <v/>
      </c>
      <c r="AJ143" s="18"/>
      <c r="AK143" s="10"/>
      <c r="AL143" s="10"/>
      <c r="AM143" s="10"/>
      <c r="AN143" s="200">
        <f t="shared" si="71"/>
        <v>0</v>
      </c>
      <c r="AO143" s="196">
        <f t="shared" si="38"/>
        <v>0</v>
      </c>
      <c r="AP143" s="33" t="str">
        <f t="shared" si="39"/>
        <v/>
      </c>
      <c r="AQ143" s="99">
        <f t="shared" si="72"/>
        <v>0</v>
      </c>
      <c r="AR143" s="121"/>
      <c r="AS143" s="42"/>
      <c r="AT143" s="163"/>
      <c r="AU143" s="48"/>
    </row>
    <row r="144" spans="1:47" ht="15" customHeight="1">
      <c r="B144" s="73" t="str">
        <f t="shared" si="73"/>
        <v/>
      </c>
      <c r="C144" s="182"/>
      <c r="D144" s="191"/>
      <c r="E144" s="185"/>
      <c r="G144" s="58" t="str">
        <f t="shared" si="77"/>
        <v/>
      </c>
      <c r="I144" s="130"/>
      <c r="J144" s="207">
        <f t="shared" si="42"/>
        <v>0</v>
      </c>
      <c r="K144" s="207">
        <f t="shared" si="74"/>
        <v>0</v>
      </c>
      <c r="L144" s="153"/>
      <c r="M144" s="254">
        <f>IF(L144=$Y$103,MAX($M$10:M143)+1,0)</f>
        <v>0</v>
      </c>
      <c r="N144" s="261">
        <f>IF(L144=$Y$119,MAX($N$10:N143)+1,0)</f>
        <v>0</v>
      </c>
      <c r="O144" s="224"/>
      <c r="P144" s="130"/>
      <c r="Q144" s="135" t="str">
        <f t="shared" si="75"/>
        <v/>
      </c>
      <c r="R144" s="132"/>
      <c r="S144" s="134" t="str">
        <f t="shared" si="65"/>
        <v/>
      </c>
      <c r="T144" s="133"/>
      <c r="V144" s="58" t="str">
        <f t="shared" si="78"/>
        <v/>
      </c>
      <c r="AJ144" s="18"/>
      <c r="AK144" s="10"/>
      <c r="AL144" s="10"/>
      <c r="AM144" s="10"/>
      <c r="AN144" s="200">
        <f t="shared" si="71"/>
        <v>0</v>
      </c>
      <c r="AO144" s="196">
        <f t="shared" si="38"/>
        <v>0</v>
      </c>
      <c r="AP144" s="33" t="str">
        <f t="shared" si="39"/>
        <v/>
      </c>
      <c r="AQ144" s="99">
        <f t="shared" si="72"/>
        <v>0</v>
      </c>
      <c r="AR144" s="121"/>
      <c r="AS144" s="42"/>
      <c r="AT144" s="163"/>
      <c r="AU144" s="48"/>
    </row>
    <row r="145" spans="2:47" ht="15" customHeight="1">
      <c r="B145" s="73" t="str">
        <f t="shared" si="73"/>
        <v/>
      </c>
      <c r="C145" s="182"/>
      <c r="D145" s="191"/>
      <c r="E145" s="185"/>
      <c r="G145" s="58" t="str">
        <f t="shared" si="77"/>
        <v/>
      </c>
      <c r="I145" s="130"/>
      <c r="J145" s="207">
        <f t="shared" si="42"/>
        <v>0</v>
      </c>
      <c r="K145" s="207">
        <f t="shared" si="74"/>
        <v>0</v>
      </c>
      <c r="L145" s="153"/>
      <c r="M145" s="254">
        <f>IF(L145=$Y$103,MAX($M$10:M144)+1,0)</f>
        <v>0</v>
      </c>
      <c r="N145" s="261">
        <f>IF(L145=$Y$119,MAX($N$10:N144)+1,0)</f>
        <v>0</v>
      </c>
      <c r="O145" s="224"/>
      <c r="P145" s="130"/>
      <c r="Q145" s="135" t="str">
        <f t="shared" si="75"/>
        <v/>
      </c>
      <c r="R145" s="132"/>
      <c r="S145" s="134" t="str">
        <f t="shared" si="65"/>
        <v/>
      </c>
      <c r="T145" s="133"/>
      <c r="V145" s="58" t="str">
        <f t="shared" si="78"/>
        <v/>
      </c>
      <c r="AJ145" s="18"/>
      <c r="AK145" s="10"/>
      <c r="AL145" s="10"/>
      <c r="AM145" s="10"/>
      <c r="AN145" s="200">
        <f t="shared" si="71"/>
        <v>46294</v>
      </c>
      <c r="AO145" s="196">
        <f t="shared" si="38"/>
        <v>46294</v>
      </c>
      <c r="AP145" s="33" t="str">
        <f t="shared" si="39"/>
        <v>P</v>
      </c>
      <c r="AQ145" s="99" t="str">
        <f t="shared" si="72"/>
        <v>Guto</v>
      </c>
      <c r="AR145" s="195">
        <v>46274</v>
      </c>
      <c r="AS145" s="307" t="s">
        <v>235</v>
      </c>
      <c r="AT145" s="163">
        <v>20</v>
      </c>
      <c r="AU145" s="48"/>
    </row>
    <row r="146" spans="2:47" ht="15" customHeight="1">
      <c r="B146" s="73" t="str">
        <f t="shared" si="73"/>
        <v/>
      </c>
      <c r="C146" s="182"/>
      <c r="D146" s="191"/>
      <c r="E146" s="185"/>
      <c r="G146" s="58" t="str">
        <f t="shared" si="77"/>
        <v/>
      </c>
      <c r="I146" s="130"/>
      <c r="J146" s="207">
        <f t="shared" si="42"/>
        <v>0</v>
      </c>
      <c r="K146" s="207">
        <f t="shared" si="74"/>
        <v>0</v>
      </c>
      <c r="L146" s="153"/>
      <c r="M146" s="254">
        <f>IF(L146=$Y$103,MAX($M$10:M145)+1,0)</f>
        <v>0</v>
      </c>
      <c r="N146" s="261">
        <f>IF(L146=$Y$119,MAX($N$10:N145)+1,0)</f>
        <v>0</v>
      </c>
      <c r="O146" s="224"/>
      <c r="P146" s="130"/>
      <c r="Q146" s="135" t="str">
        <f t="shared" si="75"/>
        <v/>
      </c>
      <c r="R146" s="132"/>
      <c r="S146" s="134" t="str">
        <f t="shared" si="65"/>
        <v/>
      </c>
      <c r="T146" s="133"/>
      <c r="V146" s="58" t="str">
        <f t="shared" si="78"/>
        <v/>
      </c>
      <c r="AJ146" s="18"/>
      <c r="AK146" s="10"/>
      <c r="AL146" s="10"/>
      <c r="AM146" s="10"/>
      <c r="AN146" s="200">
        <f t="shared" si="71"/>
        <v>46288</v>
      </c>
      <c r="AO146" s="196">
        <f t="shared" si="38"/>
        <v>46288</v>
      </c>
      <c r="AP146" s="33" t="str">
        <f t="shared" si="39"/>
        <v>P</v>
      </c>
      <c r="AQ146" s="99" t="str">
        <f t="shared" si="72"/>
        <v>Feira</v>
      </c>
      <c r="AR146" s="195">
        <v>46270</v>
      </c>
      <c r="AS146" s="301" t="s">
        <v>9</v>
      </c>
      <c r="AT146" s="163">
        <v>18</v>
      </c>
      <c r="AU146" s="48"/>
    </row>
    <row r="147" spans="2:47" ht="15" customHeight="1">
      <c r="B147" s="73" t="str">
        <f t="shared" si="73"/>
        <v/>
      </c>
      <c r="C147" s="182"/>
      <c r="D147" s="191"/>
      <c r="E147" s="185"/>
      <c r="G147" s="58" t="str">
        <f t="shared" si="77"/>
        <v/>
      </c>
      <c r="I147" s="130"/>
      <c r="J147" s="207">
        <f t="shared" si="42"/>
        <v>0</v>
      </c>
      <c r="K147" s="207">
        <f t="shared" si="74"/>
        <v>0</v>
      </c>
      <c r="L147" s="153"/>
      <c r="M147" s="254">
        <f>IF(L147=$Y$103,MAX($M$10:M146)+1,0)</f>
        <v>0</v>
      </c>
      <c r="N147" s="261">
        <f>IF(L147=$Y$119,MAX($N$10:N146)+1,0)</f>
        <v>0</v>
      </c>
      <c r="O147" s="224"/>
      <c r="P147" s="130"/>
      <c r="Q147" s="135" t="str">
        <f t="shared" si="75"/>
        <v/>
      </c>
      <c r="R147" s="132"/>
      <c r="S147" s="134" t="str">
        <f t="shared" si="65"/>
        <v/>
      </c>
      <c r="T147" s="133"/>
      <c r="V147" s="58" t="str">
        <f t="shared" si="78"/>
        <v/>
      </c>
      <c r="AJ147" s="18"/>
      <c r="AK147" s="10"/>
      <c r="AL147" s="10"/>
      <c r="AM147" s="10"/>
      <c r="AN147" s="200">
        <f t="shared" si="71"/>
        <v>46350</v>
      </c>
      <c r="AO147" s="196">
        <f t="shared" si="38"/>
        <v>46350</v>
      </c>
      <c r="AP147" s="33" t="str">
        <f t="shared" si="39"/>
        <v>P</v>
      </c>
      <c r="AQ147" s="99" t="str">
        <f t="shared" si="72"/>
        <v>Feira</v>
      </c>
      <c r="AR147" s="195">
        <v>46270</v>
      </c>
      <c r="AS147" s="301" t="s">
        <v>9</v>
      </c>
      <c r="AT147" s="163">
        <v>80</v>
      </c>
      <c r="AU147" s="48"/>
    </row>
    <row r="148" spans="2:47" ht="15" customHeight="1">
      <c r="B148" s="73" t="str">
        <f t="shared" si="73"/>
        <v/>
      </c>
      <c r="C148" s="182"/>
      <c r="D148" s="191"/>
      <c r="E148" s="185"/>
      <c r="G148" s="58" t="str">
        <f t="shared" si="77"/>
        <v/>
      </c>
      <c r="I148" s="130"/>
      <c r="J148" s="207">
        <f t="shared" si="42"/>
        <v>0</v>
      </c>
      <c r="K148" s="207">
        <f t="shared" si="74"/>
        <v>0</v>
      </c>
      <c r="L148" s="153"/>
      <c r="M148" s="254">
        <f>IF(L148=$Y$103,MAX($M$10:M147)+1,0)</f>
        <v>0</v>
      </c>
      <c r="N148" s="261">
        <f>IF(L148=$Y$119,MAX($N$10:N147)+1,0)</f>
        <v>0</v>
      </c>
      <c r="O148" s="224"/>
      <c r="P148" s="130"/>
      <c r="Q148" s="135" t="str">
        <f t="shared" si="75"/>
        <v/>
      </c>
      <c r="R148" s="132"/>
      <c r="S148" s="134" t="str">
        <f t="shared" si="65"/>
        <v/>
      </c>
      <c r="T148" s="133"/>
      <c r="V148" s="58" t="str">
        <f t="shared" ref="V148:V167" si="79">IF(I147="Pago",C147,"")</f>
        <v/>
      </c>
      <c r="AN148" s="200">
        <f t="shared" si="71"/>
        <v>0</v>
      </c>
      <c r="AO148" s="196">
        <f t="shared" ref="AO148:AO173" si="80">AR148+AT148</f>
        <v>0</v>
      </c>
      <c r="AP148" s="33" t="str">
        <f t="shared" si="39"/>
        <v/>
      </c>
      <c r="AQ148" s="99">
        <f t="shared" si="72"/>
        <v>0</v>
      </c>
      <c r="AR148" s="302"/>
      <c r="AS148" s="303"/>
      <c r="AT148" s="304"/>
      <c r="AU148" s="48"/>
    </row>
    <row r="149" spans="2:47" ht="15" customHeight="1">
      <c r="B149" s="73" t="str">
        <f t="shared" si="73"/>
        <v/>
      </c>
      <c r="C149" s="182"/>
      <c r="D149" s="191"/>
      <c r="E149" s="185"/>
      <c r="G149" s="58" t="str">
        <f t="shared" si="77"/>
        <v/>
      </c>
      <c r="I149" s="130"/>
      <c r="J149" s="207">
        <f t="shared" si="42"/>
        <v>0</v>
      </c>
      <c r="K149" s="207">
        <f t="shared" si="74"/>
        <v>0</v>
      </c>
      <c r="L149" s="153"/>
      <c r="M149" s="254">
        <f>IF(L149=$Y$103,MAX($M$10:M148)+1,0)</f>
        <v>0</v>
      </c>
      <c r="N149" s="261">
        <f>IF(L149=$Y$119,MAX($N$10:N148)+1,0)</f>
        <v>0</v>
      </c>
      <c r="O149" s="224"/>
      <c r="P149" s="130"/>
      <c r="Q149" s="135" t="str">
        <f t="shared" si="75"/>
        <v/>
      </c>
      <c r="R149" s="132"/>
      <c r="S149" s="134" t="str">
        <f t="shared" si="65"/>
        <v/>
      </c>
      <c r="T149" s="133"/>
      <c r="V149" s="58" t="str">
        <f t="shared" si="79"/>
        <v/>
      </c>
      <c r="AN149" s="200">
        <f t="shared" si="71"/>
        <v>46266.15</v>
      </c>
      <c r="AO149" s="196">
        <f t="shared" si="80"/>
        <v>46266.15</v>
      </c>
      <c r="AP149" s="33" t="str">
        <f t="shared" ref="AP149:AP173" si="81">IF(AND(AN149=0,AO149=0),"",IF(AN149=AO149,"P",IF(AN149&lt;&gt;AO149,"O")))</f>
        <v>P</v>
      </c>
      <c r="AQ149" s="99" t="str">
        <f t="shared" si="72"/>
        <v>Prudential</v>
      </c>
      <c r="AR149" s="218">
        <v>46254</v>
      </c>
      <c r="AS149" s="217" t="s">
        <v>70</v>
      </c>
      <c r="AT149" s="163">
        <v>12.15</v>
      </c>
      <c r="AU149" s="48"/>
    </row>
    <row r="150" spans="2:47" ht="15" customHeight="1">
      <c r="B150" s="73" t="str">
        <f t="shared" si="73"/>
        <v/>
      </c>
      <c r="C150" s="182"/>
      <c r="D150" s="191"/>
      <c r="E150" s="185"/>
      <c r="G150" s="58" t="str">
        <f t="shared" si="77"/>
        <v/>
      </c>
      <c r="I150" s="130"/>
      <c r="J150" s="207">
        <f t="shared" si="42"/>
        <v>0</v>
      </c>
      <c r="K150" s="207">
        <f t="shared" si="74"/>
        <v>0</v>
      </c>
      <c r="L150" s="153"/>
      <c r="M150" s="254">
        <f>IF(L150=$Y$103,MAX($M$10:M149)+1,0)</f>
        <v>0</v>
      </c>
      <c r="N150" s="261">
        <f>IF(L150=$Y$119,MAX($N$10:N149)+1,0)</f>
        <v>0</v>
      </c>
      <c r="O150" s="224"/>
      <c r="P150" s="130"/>
      <c r="Q150" s="135" t="str">
        <f t="shared" si="75"/>
        <v/>
      </c>
      <c r="R150" s="132"/>
      <c r="S150" s="134" t="str">
        <f t="shared" si="65"/>
        <v/>
      </c>
      <c r="T150" s="133"/>
      <c r="V150" s="58" t="str">
        <f t="shared" si="79"/>
        <v/>
      </c>
      <c r="AN150" s="200">
        <f t="shared" si="71"/>
        <v>46502.91</v>
      </c>
      <c r="AO150" s="196">
        <f t="shared" si="80"/>
        <v>46502.91</v>
      </c>
      <c r="AP150" s="33" t="str">
        <f t="shared" si="81"/>
        <v>P</v>
      </c>
      <c r="AQ150" s="99" t="str">
        <f t="shared" si="72"/>
        <v>Prudential</v>
      </c>
      <c r="AR150" s="218">
        <v>46254</v>
      </c>
      <c r="AS150" s="217" t="s">
        <v>71</v>
      </c>
      <c r="AT150" s="163">
        <v>248.91</v>
      </c>
      <c r="AU150" s="48"/>
    </row>
    <row r="151" spans="2:47" ht="15" customHeight="1">
      <c r="B151" s="73" t="str">
        <f t="shared" si="73"/>
        <v/>
      </c>
      <c r="C151" s="182"/>
      <c r="D151" s="191"/>
      <c r="E151" s="185"/>
      <c r="G151" s="58" t="str">
        <f t="shared" si="77"/>
        <v/>
      </c>
      <c r="I151" s="130"/>
      <c r="J151" s="207">
        <f t="shared" si="42"/>
        <v>0</v>
      </c>
      <c r="K151" s="207">
        <f t="shared" si="74"/>
        <v>0</v>
      </c>
      <c r="L151" s="153"/>
      <c r="M151" s="254">
        <f>IF(L151=$Y$103,MAX($M$10:M150)+1,0)</f>
        <v>0</v>
      </c>
      <c r="N151" s="261">
        <f>IF(L151=$Y$119,MAX($N$10:N150)+1,0)</f>
        <v>0</v>
      </c>
      <c r="O151" s="224"/>
      <c r="P151" s="130"/>
      <c r="Q151" s="135" t="str">
        <f t="shared" si="75"/>
        <v/>
      </c>
      <c r="R151" s="132"/>
      <c r="S151" s="134" t="str">
        <f t="shared" si="65"/>
        <v/>
      </c>
      <c r="T151" s="133"/>
      <c r="V151" s="58" t="str">
        <f t="shared" si="79"/>
        <v/>
      </c>
      <c r="AN151" s="201">
        <f t="shared" si="71"/>
        <v>46575.1</v>
      </c>
      <c r="AO151" s="203">
        <f t="shared" si="80"/>
        <v>46575.1</v>
      </c>
      <c r="AP151" s="115" t="str">
        <f t="shared" si="81"/>
        <v>P</v>
      </c>
      <c r="AQ151" s="164" t="str">
        <f t="shared" si="72"/>
        <v>Prudential</v>
      </c>
      <c r="AR151" s="218">
        <v>46254</v>
      </c>
      <c r="AS151" s="217" t="s">
        <v>119</v>
      </c>
      <c r="AT151" s="163">
        <v>321.10000000000002</v>
      </c>
      <c r="AU151" s="48"/>
    </row>
    <row r="152" spans="2:47" ht="15" customHeight="1">
      <c r="B152" s="73" t="str">
        <f t="shared" si="73"/>
        <v/>
      </c>
      <c r="C152" s="182"/>
      <c r="D152" s="191"/>
      <c r="E152" s="185"/>
      <c r="G152" s="58" t="str">
        <f t="shared" si="77"/>
        <v/>
      </c>
      <c r="I152" s="130"/>
      <c r="J152" s="207">
        <f t="shared" si="42"/>
        <v>0</v>
      </c>
      <c r="K152" s="207">
        <f t="shared" si="74"/>
        <v>0</v>
      </c>
      <c r="L152" s="153"/>
      <c r="M152" s="254">
        <f>IF(L152=$Y$103,MAX($M$10:M151)+1,0)</f>
        <v>0</v>
      </c>
      <c r="N152" s="261">
        <f>IF(L152=$Y$119,MAX($N$10:N151)+1,0)</f>
        <v>0</v>
      </c>
      <c r="O152" s="224"/>
      <c r="P152" s="130"/>
      <c r="Q152" s="135" t="str">
        <f t="shared" si="75"/>
        <v/>
      </c>
      <c r="R152" s="132"/>
      <c r="S152" s="134" t="str">
        <f t="shared" si="65"/>
        <v/>
      </c>
      <c r="T152" s="133"/>
      <c r="V152" s="58" t="str">
        <f t="shared" si="79"/>
        <v/>
      </c>
      <c r="AN152" s="10"/>
      <c r="AO152" s="10"/>
      <c r="AP152" s="10"/>
      <c r="AQ152" s="10"/>
      <c r="AR152" s="565">
        <f>SUM(AT149:AT151)</f>
        <v>582.16000000000008</v>
      </c>
      <c r="AS152" s="566"/>
      <c r="AT152" s="567"/>
    </row>
    <row r="153" spans="2:47" ht="15" customHeight="1">
      <c r="B153" s="73" t="str">
        <f t="shared" si="73"/>
        <v/>
      </c>
      <c r="C153" s="182"/>
      <c r="D153" s="191"/>
      <c r="E153" s="185"/>
      <c r="G153" s="58" t="str">
        <f t="shared" si="77"/>
        <v/>
      </c>
      <c r="I153" s="130"/>
      <c r="J153" s="207">
        <f t="shared" si="42"/>
        <v>0</v>
      </c>
      <c r="K153" s="207">
        <f t="shared" si="74"/>
        <v>0</v>
      </c>
      <c r="L153" s="153"/>
      <c r="M153" s="254">
        <f>IF(L153=$Y$103,MAX($M$10:M152)+1,0)</f>
        <v>0</v>
      </c>
      <c r="N153" s="261">
        <f>IF(L153=$Y$119,MAX($N$10:N152)+1,0)</f>
        <v>0</v>
      </c>
      <c r="O153" s="224"/>
      <c r="P153" s="130"/>
      <c r="Q153" s="135" t="str">
        <f t="shared" si="75"/>
        <v/>
      </c>
      <c r="R153" s="132"/>
      <c r="S153" s="134" t="str">
        <f t="shared" si="65"/>
        <v/>
      </c>
      <c r="T153" s="133"/>
      <c r="V153" s="58" t="str">
        <f t="shared" si="79"/>
        <v/>
      </c>
      <c r="AN153" s="10"/>
      <c r="AO153" s="10"/>
      <c r="AP153" s="10"/>
      <c r="AQ153" s="10"/>
      <c r="AR153" s="565"/>
      <c r="AS153" s="566"/>
      <c r="AT153" s="567"/>
    </row>
    <row r="154" spans="2:47" ht="15" customHeight="1">
      <c r="B154" s="73" t="str">
        <f t="shared" si="73"/>
        <v/>
      </c>
      <c r="C154" s="182"/>
      <c r="D154" s="191"/>
      <c r="E154" s="185"/>
      <c r="G154" s="58" t="str">
        <f t="shared" si="77"/>
        <v/>
      </c>
      <c r="I154" s="130"/>
      <c r="J154" s="207">
        <f t="shared" si="42"/>
        <v>0</v>
      </c>
      <c r="K154" s="207">
        <f t="shared" si="74"/>
        <v>0</v>
      </c>
      <c r="L154" s="153"/>
      <c r="M154" s="254">
        <f>IF(L154=$Y$103,MAX($M$10:M153)+1,0)</f>
        <v>0</v>
      </c>
      <c r="N154" s="261">
        <f>IF(L154=$Y$119,MAX($N$10:N153)+1,0)</f>
        <v>0</v>
      </c>
      <c r="O154" s="224"/>
      <c r="P154" s="130"/>
      <c r="Q154" s="135" t="str">
        <f t="shared" si="75"/>
        <v/>
      </c>
      <c r="R154" s="132"/>
      <c r="S154" s="134" t="str">
        <f t="shared" si="65"/>
        <v/>
      </c>
      <c r="T154" s="133"/>
      <c r="V154" s="58" t="str">
        <f t="shared" si="79"/>
        <v/>
      </c>
      <c r="AN154" s="199">
        <f t="shared" ref="AN154:AN173" si="82">IFERROR(VLOOKUP(AO154,$J$10:$J$199,1,0),"")</f>
        <v>46273.5</v>
      </c>
      <c r="AO154" s="202">
        <f t="shared" si="80"/>
        <v>46273.5</v>
      </c>
      <c r="AP154" s="114" t="str">
        <f t="shared" si="81"/>
        <v>P</v>
      </c>
      <c r="AQ154" s="117" t="str">
        <f t="shared" ref="AQ154:AQ173" si="83">IFERROR(VLOOKUP(AO154,$J$10:$L$199,3,0),"")</f>
        <v>Feira</v>
      </c>
      <c r="AR154" s="218">
        <v>46270</v>
      </c>
      <c r="AS154" s="217" t="s">
        <v>9</v>
      </c>
      <c r="AT154" s="219">
        <v>3.5</v>
      </c>
      <c r="AU154" s="568" t="s">
        <v>8</v>
      </c>
    </row>
    <row r="155" spans="2:47" ht="15" customHeight="1">
      <c r="B155" s="73" t="str">
        <f t="shared" si="73"/>
        <v/>
      </c>
      <c r="C155" s="182"/>
      <c r="D155" s="191"/>
      <c r="E155" s="185"/>
      <c r="G155" s="58" t="str">
        <f t="shared" si="77"/>
        <v/>
      </c>
      <c r="I155" s="130"/>
      <c r="J155" s="207">
        <f t="shared" si="42"/>
        <v>0</v>
      </c>
      <c r="K155" s="207">
        <f t="shared" si="74"/>
        <v>0</v>
      </c>
      <c r="L155" s="153"/>
      <c r="M155" s="254">
        <f>IF(L155=$Y$103,MAX($M$10:M154)+1,0)</f>
        <v>0</v>
      </c>
      <c r="N155" s="261">
        <f>IF(L155=$Y$119,MAX($N$10:N154)+1,0)</f>
        <v>0</v>
      </c>
      <c r="O155" s="224"/>
      <c r="P155" s="130"/>
      <c r="Q155" s="135" t="str">
        <f t="shared" si="75"/>
        <v/>
      </c>
      <c r="R155" s="132"/>
      <c r="S155" s="134" t="str">
        <f t="shared" si="65"/>
        <v/>
      </c>
      <c r="T155" s="133"/>
      <c r="V155" s="58" t="str">
        <f t="shared" si="79"/>
        <v/>
      </c>
      <c r="AN155" s="200">
        <f t="shared" si="82"/>
        <v>46273</v>
      </c>
      <c r="AO155" s="196">
        <f t="shared" si="80"/>
        <v>46273</v>
      </c>
      <c r="AP155" s="33" t="str">
        <f t="shared" si="81"/>
        <v>P</v>
      </c>
      <c r="AQ155" s="99" t="str">
        <f t="shared" si="83"/>
        <v>Feira</v>
      </c>
      <c r="AR155" s="218">
        <v>46270</v>
      </c>
      <c r="AS155" s="217" t="s">
        <v>9</v>
      </c>
      <c r="AT155" s="219">
        <v>3</v>
      </c>
      <c r="AU155" s="569"/>
    </row>
    <row r="156" spans="2:47" ht="15" customHeight="1">
      <c r="B156" s="73" t="str">
        <f t="shared" si="73"/>
        <v/>
      </c>
      <c r="C156" s="182"/>
      <c r="D156" s="191"/>
      <c r="E156" s="185"/>
      <c r="G156" s="58" t="str">
        <f t="shared" si="77"/>
        <v/>
      </c>
      <c r="I156" s="130"/>
      <c r="J156" s="207">
        <f t="shared" si="42"/>
        <v>0</v>
      </c>
      <c r="K156" s="207">
        <f t="shared" si="74"/>
        <v>0</v>
      </c>
      <c r="L156" s="153"/>
      <c r="M156" s="254">
        <f>IF(L156=$Y$103,MAX($M$10:M155)+1,0)</f>
        <v>0</v>
      </c>
      <c r="N156" s="261">
        <f>IF(L156=$Y$119,MAX($N$10:N155)+1,0)</f>
        <v>0</v>
      </c>
      <c r="O156" s="224"/>
      <c r="P156" s="130"/>
      <c r="Q156" s="135" t="str">
        <f t="shared" si="75"/>
        <v/>
      </c>
      <c r="R156" s="132"/>
      <c r="S156" s="134" t="str">
        <f t="shared" si="65"/>
        <v/>
      </c>
      <c r="T156" s="133"/>
      <c r="V156" s="58" t="str">
        <f t="shared" si="79"/>
        <v/>
      </c>
      <c r="AN156" s="200">
        <f t="shared" si="82"/>
        <v>46336.69</v>
      </c>
      <c r="AO156" s="196">
        <f t="shared" si="80"/>
        <v>46336.69</v>
      </c>
      <c r="AP156" s="33" t="str">
        <f t="shared" si="81"/>
        <v>P</v>
      </c>
      <c r="AQ156" s="99" t="str">
        <f t="shared" si="83"/>
        <v>Ref/Lanche</v>
      </c>
      <c r="AR156" s="218">
        <v>46268</v>
      </c>
      <c r="AS156" s="217" t="s">
        <v>171</v>
      </c>
      <c r="AT156" s="219">
        <v>68.69</v>
      </c>
      <c r="AU156" s="569"/>
    </row>
    <row r="157" spans="2:47" ht="15" customHeight="1">
      <c r="B157" s="73" t="str">
        <f t="shared" si="73"/>
        <v/>
      </c>
      <c r="C157" s="182"/>
      <c r="D157" s="191"/>
      <c r="E157" s="185"/>
      <c r="G157" s="58" t="str">
        <f t="shared" si="77"/>
        <v/>
      </c>
      <c r="I157" s="130"/>
      <c r="J157" s="207">
        <f t="shared" si="42"/>
        <v>0</v>
      </c>
      <c r="K157" s="207">
        <f t="shared" si="74"/>
        <v>0</v>
      </c>
      <c r="L157" s="153"/>
      <c r="M157" s="254">
        <f>IF(L157=$Y$103,MAX($M$10:M156)+1,0)</f>
        <v>0</v>
      </c>
      <c r="N157" s="261">
        <f>IF(L157=$Y$119,MAX($N$10:N156)+1,0)</f>
        <v>0</v>
      </c>
      <c r="O157" s="224"/>
      <c r="P157" s="130"/>
      <c r="Q157" s="135" t="str">
        <f t="shared" si="75"/>
        <v/>
      </c>
      <c r="R157" s="132"/>
      <c r="S157" s="134" t="str">
        <f t="shared" si="65"/>
        <v/>
      </c>
      <c r="T157" s="133"/>
      <c r="V157" s="58" t="str">
        <f t="shared" si="79"/>
        <v/>
      </c>
      <c r="AN157" s="200">
        <f t="shared" si="82"/>
        <v>46335.839999999997</v>
      </c>
      <c r="AO157" s="196">
        <f t="shared" si="80"/>
        <v>46335.839999999997</v>
      </c>
      <c r="AP157" s="33" t="str">
        <f t="shared" si="81"/>
        <v>P</v>
      </c>
      <c r="AQ157" s="99" t="str">
        <f t="shared" si="83"/>
        <v>João</v>
      </c>
      <c r="AR157" s="218">
        <v>46267</v>
      </c>
      <c r="AS157" s="217" t="s">
        <v>229</v>
      </c>
      <c r="AT157" s="219">
        <v>68.84</v>
      </c>
      <c r="AU157" s="48"/>
    </row>
    <row r="158" spans="2:47" ht="15" customHeight="1">
      <c r="B158" s="73" t="str">
        <f t="shared" si="73"/>
        <v/>
      </c>
      <c r="C158" s="182"/>
      <c r="D158" s="191"/>
      <c r="E158" s="185"/>
      <c r="G158" s="58" t="str">
        <f t="shared" si="77"/>
        <v/>
      </c>
      <c r="I158" s="130"/>
      <c r="J158" s="207">
        <f t="shared" si="42"/>
        <v>0</v>
      </c>
      <c r="K158" s="207">
        <f t="shared" si="74"/>
        <v>0</v>
      </c>
      <c r="L158" s="153"/>
      <c r="M158" s="254">
        <f>IF(L158=$Y$103,MAX($M$10:M157)+1,0)</f>
        <v>0</v>
      </c>
      <c r="N158" s="261">
        <f>IF(L158=$Y$119,MAX($N$10:N157)+1,0)</f>
        <v>0</v>
      </c>
      <c r="O158" s="224"/>
      <c r="P158" s="130"/>
      <c r="Q158" s="135" t="str">
        <f t="shared" si="75"/>
        <v/>
      </c>
      <c r="R158" s="132"/>
      <c r="S158" s="134" t="str">
        <f t="shared" si="65"/>
        <v/>
      </c>
      <c r="T158" s="133"/>
      <c r="V158" s="58" t="str">
        <f t="shared" si="79"/>
        <v/>
      </c>
      <c r="AN158" s="200">
        <f t="shared" si="82"/>
        <v>46307.11</v>
      </c>
      <c r="AO158" s="196">
        <f t="shared" si="80"/>
        <v>46307.11</v>
      </c>
      <c r="AP158" s="33" t="str">
        <f t="shared" si="81"/>
        <v>P</v>
      </c>
      <c r="AQ158" s="99" t="str">
        <f t="shared" si="83"/>
        <v>Supermercado</v>
      </c>
      <c r="AR158" s="218">
        <v>46264</v>
      </c>
      <c r="AS158" s="217" t="s">
        <v>53</v>
      </c>
      <c r="AT158" s="219">
        <v>43.11</v>
      </c>
      <c r="AU158" s="48"/>
    </row>
    <row r="159" spans="2:47" ht="15" customHeight="1">
      <c r="B159" s="73" t="str">
        <f t="shared" si="73"/>
        <v/>
      </c>
      <c r="C159" s="182"/>
      <c r="D159" s="191"/>
      <c r="E159" s="185"/>
      <c r="G159" s="58" t="str">
        <f t="shared" si="77"/>
        <v/>
      </c>
      <c r="I159" s="130"/>
      <c r="J159" s="207">
        <f t="shared" si="42"/>
        <v>0</v>
      </c>
      <c r="K159" s="207">
        <f t="shared" si="74"/>
        <v>0</v>
      </c>
      <c r="L159" s="153"/>
      <c r="M159" s="254">
        <f>IF(L159=$Y$103,MAX($M$10:M158)+1,0)</f>
        <v>0</v>
      </c>
      <c r="N159" s="261">
        <f>IF(L159=$Y$119,MAX($N$10:N158)+1,0)</f>
        <v>0</v>
      </c>
      <c r="O159" s="224"/>
      <c r="P159" s="130"/>
      <c r="Q159" s="135" t="str">
        <f t="shared" si="75"/>
        <v/>
      </c>
      <c r="R159" s="132"/>
      <c r="S159" s="134" t="str">
        <f t="shared" si="65"/>
        <v/>
      </c>
      <c r="T159" s="133"/>
      <c r="V159" s="58" t="str">
        <f t="shared" si="79"/>
        <v/>
      </c>
      <c r="AN159" s="200">
        <f t="shared" si="82"/>
        <v>46281</v>
      </c>
      <c r="AO159" s="196">
        <f t="shared" si="80"/>
        <v>46281</v>
      </c>
      <c r="AP159" s="33" t="str">
        <f t="shared" si="81"/>
        <v>P</v>
      </c>
      <c r="AQ159" s="99" t="str">
        <f t="shared" si="83"/>
        <v>Feira</v>
      </c>
      <c r="AR159" s="218">
        <v>46263</v>
      </c>
      <c r="AS159" s="217" t="s">
        <v>9</v>
      </c>
      <c r="AT159" s="219">
        <v>18</v>
      </c>
      <c r="AU159" s="48"/>
    </row>
    <row r="160" spans="2:47" ht="15" customHeight="1">
      <c r="B160" s="73" t="str">
        <f t="shared" si="73"/>
        <v/>
      </c>
      <c r="C160" s="182"/>
      <c r="D160" s="191"/>
      <c r="E160" s="185"/>
      <c r="G160" s="58" t="str">
        <f t="shared" si="77"/>
        <v/>
      </c>
      <c r="I160" s="130"/>
      <c r="J160" s="207">
        <f t="shared" si="42"/>
        <v>0</v>
      </c>
      <c r="K160" s="207">
        <f t="shared" si="74"/>
        <v>0</v>
      </c>
      <c r="L160" s="153"/>
      <c r="M160" s="254">
        <f>IF(L160=$Y$103,MAX($M$10:M159)+1,0)</f>
        <v>0</v>
      </c>
      <c r="N160" s="261">
        <f>IF(L160=$Y$119,MAX($N$10:N159)+1,0)</f>
        <v>0</v>
      </c>
      <c r="O160" s="224"/>
      <c r="P160" s="130"/>
      <c r="Q160" s="135" t="str">
        <f t="shared" si="75"/>
        <v/>
      </c>
      <c r="R160" s="132"/>
      <c r="S160" s="134" t="str">
        <f t="shared" si="65"/>
        <v/>
      </c>
      <c r="T160" s="133"/>
      <c r="V160" s="58" t="str">
        <f t="shared" si="79"/>
        <v/>
      </c>
      <c r="AN160" s="200">
        <f t="shared" si="82"/>
        <v>46282</v>
      </c>
      <c r="AO160" s="196">
        <f t="shared" si="80"/>
        <v>46282</v>
      </c>
      <c r="AP160" s="33" t="str">
        <f t="shared" si="81"/>
        <v>P</v>
      </c>
      <c r="AQ160" s="99" t="str">
        <f t="shared" si="83"/>
        <v>Feira</v>
      </c>
      <c r="AR160" s="218">
        <v>46263</v>
      </c>
      <c r="AS160" s="217" t="s">
        <v>9</v>
      </c>
      <c r="AT160" s="219">
        <v>19</v>
      </c>
      <c r="AU160" s="48"/>
    </row>
    <row r="161" spans="2:47" ht="15" customHeight="1">
      <c r="B161" s="73" t="str">
        <f t="shared" si="73"/>
        <v/>
      </c>
      <c r="C161" s="182"/>
      <c r="D161" s="191"/>
      <c r="E161" s="185"/>
      <c r="G161" s="58" t="str">
        <f t="shared" si="77"/>
        <v/>
      </c>
      <c r="I161" s="130"/>
      <c r="J161" s="207">
        <f t="shared" si="42"/>
        <v>0</v>
      </c>
      <c r="K161" s="207">
        <f t="shared" si="74"/>
        <v>0</v>
      </c>
      <c r="L161" s="153"/>
      <c r="M161" s="254">
        <f>IF(L161=$Y$103,MAX($M$10:M160)+1,0)</f>
        <v>0</v>
      </c>
      <c r="N161" s="261">
        <f>IF(L161=$Y$119,MAX($N$10:N160)+1,0)</f>
        <v>0</v>
      </c>
      <c r="O161" s="224"/>
      <c r="P161" s="130"/>
      <c r="Q161" s="135" t="str">
        <f t="shared" si="75"/>
        <v/>
      </c>
      <c r="R161" s="132"/>
      <c r="S161" s="134" t="str">
        <f t="shared" si="65"/>
        <v/>
      </c>
      <c r="T161" s="133"/>
      <c r="V161" s="58" t="str">
        <f t="shared" si="79"/>
        <v/>
      </c>
      <c r="AN161" s="200">
        <f t="shared" si="82"/>
        <v>46338.68</v>
      </c>
      <c r="AO161" s="196">
        <f t="shared" si="80"/>
        <v>46338.68</v>
      </c>
      <c r="AP161" s="33" t="str">
        <f t="shared" si="81"/>
        <v>P</v>
      </c>
      <c r="AQ161" s="99" t="str">
        <f t="shared" si="83"/>
        <v>Ref/Lanche</v>
      </c>
      <c r="AR161" s="218">
        <v>46262</v>
      </c>
      <c r="AS161" s="217" t="s">
        <v>168</v>
      </c>
      <c r="AT161" s="219">
        <v>76.680000000000007</v>
      </c>
      <c r="AU161" s="48"/>
    </row>
    <row r="162" spans="2:47" ht="15" customHeight="1">
      <c r="B162" s="73" t="str">
        <f t="shared" si="73"/>
        <v/>
      </c>
      <c r="C162" s="182"/>
      <c r="D162" s="191"/>
      <c r="E162" s="185"/>
      <c r="G162" s="58" t="str">
        <f t="shared" si="77"/>
        <v/>
      </c>
      <c r="I162" s="130"/>
      <c r="J162" s="207">
        <f t="shared" ref="J162:J168" si="84">C162+D162</f>
        <v>0</v>
      </c>
      <c r="K162" s="207">
        <f t="shared" si="74"/>
        <v>0</v>
      </c>
      <c r="L162" s="153"/>
      <c r="M162" s="254">
        <f>IF(L162=$Y$103,MAX($M$10:M161)+1,0)</f>
        <v>0</v>
      </c>
      <c r="N162" s="261">
        <f>IF(L162=$Y$119,MAX($N$10:N161)+1,0)</f>
        <v>0</v>
      </c>
      <c r="O162" s="224"/>
      <c r="P162" s="130"/>
      <c r="Q162" s="135" t="str">
        <f t="shared" si="75"/>
        <v/>
      </c>
      <c r="R162" s="132"/>
      <c r="S162" s="134" t="str">
        <f t="shared" si="65"/>
        <v/>
      </c>
      <c r="T162" s="133"/>
      <c r="V162" s="58" t="str">
        <f t="shared" si="79"/>
        <v/>
      </c>
      <c r="AN162" s="200">
        <f t="shared" si="82"/>
        <v>46861.57</v>
      </c>
      <c r="AO162" s="196">
        <f t="shared" si="80"/>
        <v>46861.57</v>
      </c>
      <c r="AP162" s="33" t="str">
        <f t="shared" si="81"/>
        <v>P</v>
      </c>
      <c r="AQ162" s="99" t="str">
        <f t="shared" si="83"/>
        <v>Supermercado</v>
      </c>
      <c r="AR162" s="218">
        <v>46261</v>
      </c>
      <c r="AS162" s="217" t="s">
        <v>27</v>
      </c>
      <c r="AT162" s="219">
        <v>600.57000000000005</v>
      </c>
      <c r="AU162" s="48"/>
    </row>
    <row r="163" spans="2:47" ht="15" customHeight="1">
      <c r="B163" s="73" t="str">
        <f t="shared" si="73"/>
        <v/>
      </c>
      <c r="C163" s="182"/>
      <c r="D163" s="191"/>
      <c r="E163" s="185"/>
      <c r="G163" s="58" t="str">
        <f t="shared" si="77"/>
        <v/>
      </c>
      <c r="I163" s="130"/>
      <c r="J163" s="207">
        <f t="shared" si="84"/>
        <v>0</v>
      </c>
      <c r="K163" s="207">
        <f t="shared" si="74"/>
        <v>0</v>
      </c>
      <c r="L163" s="153"/>
      <c r="M163" s="254">
        <f>IF(L163=$Y$103,MAX($M$10:M162)+1,0)</f>
        <v>0</v>
      </c>
      <c r="N163" s="261">
        <f>IF(L163=$Y$119,MAX($N$10:N162)+1,0)</f>
        <v>0</v>
      </c>
      <c r="O163" s="224"/>
      <c r="P163" s="130"/>
      <c r="Q163" s="135" t="str">
        <f t="shared" si="75"/>
        <v/>
      </c>
      <c r="R163" s="132"/>
      <c r="S163" s="134" t="str">
        <f t="shared" si="65"/>
        <v/>
      </c>
      <c r="T163" s="133"/>
      <c r="V163" s="58" t="str">
        <f t="shared" si="79"/>
        <v/>
      </c>
      <c r="AN163" s="200" t="str">
        <f t="shared" si="82"/>
        <v/>
      </c>
      <c r="AO163" s="196">
        <f t="shared" si="80"/>
        <v>46346.06</v>
      </c>
      <c r="AP163" s="33" t="str">
        <f t="shared" si="81"/>
        <v>O</v>
      </c>
      <c r="AQ163" s="99" t="str">
        <f t="shared" si="83"/>
        <v/>
      </c>
      <c r="AR163" s="218">
        <v>46260</v>
      </c>
      <c r="AS163" s="217" t="s">
        <v>225</v>
      </c>
      <c r="AT163" s="219">
        <v>86.06</v>
      </c>
      <c r="AU163" s="48"/>
    </row>
    <row r="164" spans="2:47" ht="15" customHeight="1">
      <c r="B164" s="73" t="str">
        <f t="shared" si="73"/>
        <v/>
      </c>
      <c r="C164" s="182"/>
      <c r="D164" s="191"/>
      <c r="E164" s="185"/>
      <c r="G164" s="58" t="str">
        <f t="shared" si="77"/>
        <v/>
      </c>
      <c r="I164" s="130"/>
      <c r="J164" s="207">
        <f t="shared" si="84"/>
        <v>0</v>
      </c>
      <c r="K164" s="207">
        <f t="shared" si="74"/>
        <v>0</v>
      </c>
      <c r="L164" s="153"/>
      <c r="M164" s="254">
        <f>IF(L164=$Y$103,MAX($M$10:M163)+1,0)</f>
        <v>0</v>
      </c>
      <c r="N164" s="261">
        <f>IF(L164=$Y$119,MAX($N$10:N163)+1,0)</f>
        <v>0</v>
      </c>
      <c r="O164" s="224"/>
      <c r="P164" s="130"/>
      <c r="Q164" s="135" t="str">
        <f t="shared" si="75"/>
        <v/>
      </c>
      <c r="R164" s="132"/>
      <c r="S164" s="134" t="str">
        <f t="shared" si="65"/>
        <v/>
      </c>
      <c r="T164" s="133"/>
      <c r="V164" s="58" t="str">
        <f t="shared" si="79"/>
        <v/>
      </c>
      <c r="AN164" s="200">
        <f t="shared" si="82"/>
        <v>46338.239999999998</v>
      </c>
      <c r="AO164" s="196">
        <f t="shared" si="80"/>
        <v>46338.239999999998</v>
      </c>
      <c r="AP164" s="33" t="str">
        <f t="shared" si="81"/>
        <v>P</v>
      </c>
      <c r="AQ164" s="99" t="str">
        <f t="shared" si="83"/>
        <v>João</v>
      </c>
      <c r="AR164" s="218">
        <v>46259</v>
      </c>
      <c r="AS164" s="217" t="s">
        <v>224</v>
      </c>
      <c r="AT164" s="219">
        <v>79.239999999999995</v>
      </c>
      <c r="AU164" s="48"/>
    </row>
    <row r="165" spans="2:47" ht="15" customHeight="1">
      <c r="B165" s="73" t="str">
        <f t="shared" si="73"/>
        <v/>
      </c>
      <c r="C165" s="182"/>
      <c r="D165" s="191"/>
      <c r="E165" s="185"/>
      <c r="G165" s="58" t="str">
        <f t="shared" si="77"/>
        <v/>
      </c>
      <c r="I165" s="130"/>
      <c r="J165" s="207">
        <f t="shared" si="84"/>
        <v>0</v>
      </c>
      <c r="K165" s="207">
        <f t="shared" si="74"/>
        <v>0</v>
      </c>
      <c r="L165" s="153"/>
      <c r="M165" s="254">
        <f>IF(L165=$Y$103,MAX($M$10:M164)+1,0)</f>
        <v>0</v>
      </c>
      <c r="N165" s="261">
        <f>IF(L165=$Y$119,MAX($N$10:N164)+1,0)</f>
        <v>0</v>
      </c>
      <c r="O165" s="224"/>
      <c r="P165" s="130"/>
      <c r="Q165" s="135" t="str">
        <f t="shared" si="75"/>
        <v/>
      </c>
      <c r="R165" s="132"/>
      <c r="S165" s="134" t="str">
        <f t="shared" si="65"/>
        <v/>
      </c>
      <c r="T165" s="133"/>
      <c r="V165" s="58" t="str">
        <f t="shared" si="79"/>
        <v/>
      </c>
      <c r="AN165" s="200">
        <f t="shared" si="82"/>
        <v>46400.22</v>
      </c>
      <c r="AO165" s="196">
        <f t="shared" si="80"/>
        <v>46400.22</v>
      </c>
      <c r="AP165" s="33" t="str">
        <f t="shared" si="81"/>
        <v>P</v>
      </c>
      <c r="AQ165" s="99" t="str">
        <f t="shared" si="83"/>
        <v>João</v>
      </c>
      <c r="AR165" s="218">
        <v>46259</v>
      </c>
      <c r="AS165" s="217" t="s">
        <v>223</v>
      </c>
      <c r="AT165" s="219">
        <v>141.22</v>
      </c>
      <c r="AU165" s="48"/>
    </row>
    <row r="166" spans="2:47" ht="15" customHeight="1">
      <c r="B166" s="73" t="str">
        <f t="shared" si="73"/>
        <v/>
      </c>
      <c r="C166" s="182"/>
      <c r="D166" s="191"/>
      <c r="E166" s="185"/>
      <c r="G166" s="58" t="str">
        <f t="shared" si="77"/>
        <v/>
      </c>
      <c r="I166" s="130"/>
      <c r="J166" s="207">
        <f t="shared" si="84"/>
        <v>0</v>
      </c>
      <c r="K166" s="207">
        <f t="shared" si="74"/>
        <v>0</v>
      </c>
      <c r="L166" s="153"/>
      <c r="M166" s="254">
        <f>IF(L166=$Y$103,MAX($M$10:M165)+1,0)</f>
        <v>0</v>
      </c>
      <c r="N166" s="261">
        <f>IF(L166=$Y$119,MAX($N$10:N165)+1,0)</f>
        <v>0</v>
      </c>
      <c r="O166" s="224"/>
      <c r="P166" s="130"/>
      <c r="Q166" s="135" t="str">
        <f t="shared" si="75"/>
        <v/>
      </c>
      <c r="R166" s="132"/>
      <c r="S166" s="134" t="str">
        <f t="shared" si="65"/>
        <v/>
      </c>
      <c r="T166" s="133"/>
      <c r="V166" s="58" t="str">
        <f t="shared" si="79"/>
        <v/>
      </c>
      <c r="AN166" s="200">
        <f t="shared" si="82"/>
        <v>46299</v>
      </c>
      <c r="AO166" s="196">
        <f t="shared" si="80"/>
        <v>46299</v>
      </c>
      <c r="AP166" s="33" t="str">
        <f t="shared" si="81"/>
        <v>P</v>
      </c>
      <c r="AQ166" s="99" t="str">
        <f t="shared" si="83"/>
        <v>Moto</v>
      </c>
      <c r="AR166" s="218">
        <v>46256</v>
      </c>
      <c r="AS166" s="217" t="s">
        <v>54</v>
      </c>
      <c r="AT166" s="219">
        <v>43</v>
      </c>
      <c r="AU166" s="48"/>
    </row>
    <row r="167" spans="2:47" ht="15" customHeight="1">
      <c r="B167" s="73" t="str">
        <f t="shared" si="73"/>
        <v/>
      </c>
      <c r="C167" s="182"/>
      <c r="D167" s="191"/>
      <c r="E167" s="185"/>
      <c r="G167" s="58" t="str">
        <f t="shared" si="77"/>
        <v/>
      </c>
      <c r="I167" s="130"/>
      <c r="J167" s="207">
        <f t="shared" si="84"/>
        <v>0</v>
      </c>
      <c r="K167" s="207">
        <f t="shared" si="74"/>
        <v>0</v>
      </c>
      <c r="L167" s="153"/>
      <c r="M167" s="254">
        <f>IF(L167=$Y$103,MAX($M$10:M166)+1,0)</f>
        <v>0</v>
      </c>
      <c r="N167" s="261">
        <f>IF(L167=$Y$119,MAX($N$10:N166)+1,0)</f>
        <v>0</v>
      </c>
      <c r="O167" s="224"/>
      <c r="P167" s="130"/>
      <c r="Q167" s="135" t="str">
        <f t="shared" si="75"/>
        <v/>
      </c>
      <c r="R167" s="132"/>
      <c r="S167" s="134" t="str">
        <f t="shared" si="65"/>
        <v/>
      </c>
      <c r="T167" s="133"/>
      <c r="V167" s="58" t="str">
        <f t="shared" si="79"/>
        <v/>
      </c>
      <c r="AN167" s="200">
        <f t="shared" si="82"/>
        <v>46124.75</v>
      </c>
      <c r="AO167" s="196">
        <f t="shared" si="80"/>
        <v>46124.75</v>
      </c>
      <c r="AP167" s="33" t="str">
        <f t="shared" si="81"/>
        <v>P</v>
      </c>
      <c r="AQ167" s="99" t="str">
        <f t="shared" si="83"/>
        <v>João</v>
      </c>
      <c r="AR167" s="218">
        <v>46039</v>
      </c>
      <c r="AS167" s="217" t="s">
        <v>215</v>
      </c>
      <c r="AT167" s="219">
        <v>85.75</v>
      </c>
      <c r="AU167" s="48"/>
    </row>
    <row r="168" spans="2:47" ht="15" customHeight="1">
      <c r="B168" s="73" t="str">
        <f t="shared" si="73"/>
        <v/>
      </c>
      <c r="C168" s="182"/>
      <c r="D168" s="191"/>
      <c r="E168" s="185"/>
      <c r="G168" s="58" t="str">
        <f>IF(OR(C168="",I168="Pago"),"",C168)</f>
        <v/>
      </c>
      <c r="I168" s="130"/>
      <c r="J168" s="207">
        <f t="shared" si="84"/>
        <v>0</v>
      </c>
      <c r="K168" s="207">
        <f t="shared" si="74"/>
        <v>0</v>
      </c>
      <c r="L168" s="153"/>
      <c r="M168" s="254">
        <f>IF(L168=$Y$103,MAX($M$10:M167)+1,0)</f>
        <v>0</v>
      </c>
      <c r="N168" s="261">
        <f>IF(L168=$Y$119,MAX($N$10:N167)+1,0)</f>
        <v>0</v>
      </c>
      <c r="O168" s="224"/>
      <c r="P168" s="130"/>
      <c r="Q168" s="135" t="str">
        <f>IF(P168="AV","8",IF(AND(J168=0,K168=0),"",IF(J168=K168,"P",IF(J168&lt;&gt;K168,"O"))))</f>
        <v/>
      </c>
      <c r="R168" s="132"/>
      <c r="S168" s="134" t="str">
        <f>IF(R168="","","de")</f>
        <v/>
      </c>
      <c r="T168" s="133"/>
      <c r="V168" s="58" t="str">
        <f>IF(I167="Pago",C167,"")</f>
        <v/>
      </c>
      <c r="AN168" s="200">
        <f t="shared" si="82"/>
        <v>46263.75</v>
      </c>
      <c r="AO168" s="196">
        <f t="shared" si="80"/>
        <v>46263.75</v>
      </c>
      <c r="AP168" s="33" t="str">
        <f t="shared" si="81"/>
        <v>P</v>
      </c>
      <c r="AQ168" s="99" t="str">
        <f t="shared" si="83"/>
        <v>Extras J</v>
      </c>
      <c r="AR168" s="218">
        <v>46220</v>
      </c>
      <c r="AS168" s="217" t="s">
        <v>214</v>
      </c>
      <c r="AT168" s="219">
        <v>43.75</v>
      </c>
      <c r="AU168" s="48"/>
    </row>
    <row r="169" spans="2:47" ht="15" customHeight="1">
      <c r="B169" s="73"/>
      <c r="C169" s="182"/>
      <c r="D169" s="191"/>
      <c r="E169" s="185"/>
      <c r="G169" s="58"/>
      <c r="I169" s="130"/>
      <c r="J169" s="207"/>
      <c r="K169" s="207"/>
      <c r="L169" s="153"/>
      <c r="M169" s="254"/>
      <c r="N169" s="261"/>
      <c r="O169" s="224"/>
      <c r="P169" s="130"/>
      <c r="Q169" s="135"/>
      <c r="R169" s="132"/>
      <c r="S169" s="134"/>
      <c r="T169" s="133"/>
      <c r="V169" s="58"/>
      <c r="AN169" s="200">
        <f t="shared" si="82"/>
        <v>46506.63</v>
      </c>
      <c r="AO169" s="196">
        <f t="shared" si="80"/>
        <v>46506.63</v>
      </c>
      <c r="AP169" s="33" t="str">
        <f t="shared" si="81"/>
        <v>P</v>
      </c>
      <c r="AQ169" s="99" t="str">
        <f t="shared" si="83"/>
        <v>Prudential</v>
      </c>
      <c r="AR169" s="218">
        <v>46252</v>
      </c>
      <c r="AS169" s="217" t="s">
        <v>212</v>
      </c>
      <c r="AT169" s="219">
        <v>254.63</v>
      </c>
      <c r="AU169" s="48"/>
    </row>
    <row r="170" spans="2:47" ht="15" customHeight="1">
      <c r="B170" s="73"/>
      <c r="C170" s="182"/>
      <c r="D170" s="191"/>
      <c r="E170" s="185"/>
      <c r="G170" s="58"/>
      <c r="I170" s="130"/>
      <c r="J170" s="207"/>
      <c r="K170" s="207"/>
      <c r="L170" s="153"/>
      <c r="M170" s="254"/>
      <c r="N170" s="261"/>
      <c r="O170" s="224"/>
      <c r="P170" s="130"/>
      <c r="Q170" s="135"/>
      <c r="R170" s="132"/>
      <c r="S170" s="134"/>
      <c r="T170" s="133"/>
      <c r="V170" s="58"/>
      <c r="AN170" s="200">
        <f t="shared" si="82"/>
        <v>46376.24</v>
      </c>
      <c r="AO170" s="196">
        <f t="shared" si="80"/>
        <v>46376.24</v>
      </c>
      <c r="AP170" s="33" t="str">
        <f t="shared" si="81"/>
        <v>P</v>
      </c>
      <c r="AQ170" s="99" t="str">
        <f t="shared" si="83"/>
        <v>Prudential</v>
      </c>
      <c r="AR170" s="218">
        <v>46128</v>
      </c>
      <c r="AS170" s="217" t="s">
        <v>117</v>
      </c>
      <c r="AT170" s="219">
        <v>248.24</v>
      </c>
      <c r="AU170" s="48"/>
    </row>
    <row r="171" spans="2:47" ht="15" customHeight="1">
      <c r="B171" s="73"/>
      <c r="C171" s="182"/>
      <c r="D171" s="191"/>
      <c r="E171" s="185"/>
      <c r="G171" s="58"/>
      <c r="I171" s="130"/>
      <c r="J171" s="207"/>
      <c r="K171" s="207"/>
      <c r="L171" s="153"/>
      <c r="M171" s="254"/>
      <c r="N171" s="261"/>
      <c r="O171" s="224"/>
      <c r="P171" s="130"/>
      <c r="Q171" s="135"/>
      <c r="R171" s="132"/>
      <c r="S171" s="134"/>
      <c r="T171" s="133"/>
      <c r="V171" s="58"/>
      <c r="AN171" s="200">
        <f t="shared" si="82"/>
        <v>46489.04</v>
      </c>
      <c r="AO171" s="196">
        <f t="shared" si="80"/>
        <v>46489.04</v>
      </c>
      <c r="AP171" s="33" t="str">
        <f t="shared" si="81"/>
        <v>P</v>
      </c>
      <c r="AQ171" s="99" t="str">
        <f t="shared" si="83"/>
        <v>Prudential</v>
      </c>
      <c r="AR171" s="218">
        <v>46252</v>
      </c>
      <c r="AS171" s="217" t="s">
        <v>71</v>
      </c>
      <c r="AT171" s="219">
        <v>237.04</v>
      </c>
      <c r="AU171" s="48"/>
    </row>
    <row r="172" spans="2:47" ht="15" customHeight="1">
      <c r="B172" s="73"/>
      <c r="C172" s="182"/>
      <c r="D172" s="191"/>
      <c r="E172" s="185"/>
      <c r="G172" s="58"/>
      <c r="I172" s="130"/>
      <c r="J172" s="207"/>
      <c r="K172" s="207"/>
      <c r="L172" s="153"/>
      <c r="M172" s="254"/>
      <c r="N172" s="261"/>
      <c r="O172" s="224"/>
      <c r="P172" s="130"/>
      <c r="Q172" s="135"/>
      <c r="R172" s="132"/>
      <c r="S172" s="134"/>
      <c r="T172" s="133"/>
      <c r="V172" s="58"/>
      <c r="AN172" s="200">
        <f t="shared" si="82"/>
        <v>46367.27</v>
      </c>
      <c r="AO172" s="196">
        <f t="shared" si="80"/>
        <v>46367.27</v>
      </c>
      <c r="AP172" s="33" t="str">
        <f t="shared" si="81"/>
        <v>P</v>
      </c>
      <c r="AQ172" s="99" t="str">
        <f t="shared" si="83"/>
        <v>Guto</v>
      </c>
      <c r="AR172" s="218">
        <v>46251</v>
      </c>
      <c r="AS172" s="217" t="s">
        <v>213</v>
      </c>
      <c r="AT172" s="219">
        <v>116.27</v>
      </c>
      <c r="AU172" s="48"/>
    </row>
    <row r="173" spans="2:47" ht="15" customHeight="1">
      <c r="B173" s="73"/>
      <c r="C173" s="182"/>
      <c r="D173" s="191"/>
      <c r="E173" s="185"/>
      <c r="G173" s="58"/>
      <c r="I173" s="130"/>
      <c r="J173" s="207"/>
      <c r="K173" s="207"/>
      <c r="L173" s="153"/>
      <c r="M173" s="254"/>
      <c r="N173" s="261"/>
      <c r="O173" s="224"/>
      <c r="P173" s="130"/>
      <c r="Q173" s="135"/>
      <c r="R173" s="132"/>
      <c r="S173" s="134"/>
      <c r="T173" s="133"/>
      <c r="V173" s="58"/>
      <c r="AN173" s="201">
        <f t="shared" si="82"/>
        <v>46255.07</v>
      </c>
      <c r="AO173" s="203">
        <f t="shared" si="80"/>
        <v>46255.07</v>
      </c>
      <c r="AP173" s="115" t="str">
        <f t="shared" si="81"/>
        <v>P</v>
      </c>
      <c r="AQ173" s="164" t="str">
        <f t="shared" si="83"/>
        <v>Guto</v>
      </c>
      <c r="AR173" s="218">
        <v>46251</v>
      </c>
      <c r="AS173" s="217" t="s">
        <v>49</v>
      </c>
      <c r="AT173" s="219">
        <v>4.07</v>
      </c>
      <c r="AU173" s="116"/>
    </row>
    <row r="174" spans="2:47" ht="15" customHeight="1">
      <c r="B174" s="73"/>
      <c r="C174" s="182"/>
      <c r="D174" s="191"/>
      <c r="E174" s="185"/>
      <c r="G174" s="58"/>
      <c r="I174" s="130"/>
      <c r="J174" s="207"/>
      <c r="K174" s="207"/>
      <c r="L174" s="153"/>
      <c r="M174" s="254"/>
      <c r="N174" s="261"/>
      <c r="O174" s="224"/>
      <c r="P174" s="130"/>
      <c r="Q174" s="135"/>
      <c r="R174" s="132"/>
      <c r="S174" s="134"/>
      <c r="T174" s="133"/>
      <c r="V174" s="58"/>
      <c r="AR174" s="565">
        <f>SUM(AT154:AT173,AT146,AT147)-687.89</f>
        <v>1650.7700000000004</v>
      </c>
      <c r="AS174" s="566"/>
      <c r="AT174" s="567"/>
    </row>
    <row r="175" spans="2:47" ht="15" customHeight="1">
      <c r="B175" s="73"/>
      <c r="C175" s="182"/>
      <c r="D175" s="191"/>
      <c r="E175" s="185"/>
      <c r="G175" s="58"/>
      <c r="I175" s="130"/>
      <c r="J175" s="207"/>
      <c r="K175" s="207"/>
      <c r="L175" s="153"/>
      <c r="M175" s="254"/>
      <c r="N175" s="261"/>
      <c r="O175" s="224"/>
      <c r="P175" s="130"/>
      <c r="Q175" s="135"/>
      <c r="R175" s="132"/>
      <c r="S175" s="134"/>
      <c r="T175" s="133"/>
      <c r="V175" s="58"/>
      <c r="AR175" s="570"/>
      <c r="AS175" s="571"/>
      <c r="AT175" s="572"/>
    </row>
    <row r="176" spans="2:47" ht="15" customHeight="1">
      <c r="B176" s="73"/>
      <c r="C176" s="182"/>
      <c r="D176" s="191"/>
      <c r="E176" s="185"/>
      <c r="G176" s="58"/>
      <c r="I176" s="130"/>
      <c r="J176" s="207"/>
      <c r="K176" s="207"/>
      <c r="L176" s="153"/>
      <c r="M176" s="254"/>
      <c r="N176" s="261"/>
      <c r="O176" s="224"/>
      <c r="P176" s="130"/>
      <c r="Q176" s="135"/>
      <c r="R176" s="132"/>
      <c r="S176" s="134"/>
      <c r="T176" s="133"/>
      <c r="V176" s="58"/>
    </row>
    <row r="177" spans="2:22" ht="15" customHeight="1">
      <c r="B177" s="73"/>
      <c r="C177" s="182"/>
      <c r="D177" s="191"/>
      <c r="E177" s="185"/>
      <c r="G177" s="58"/>
      <c r="I177" s="130"/>
      <c r="J177" s="207"/>
      <c r="K177" s="207"/>
      <c r="L177" s="153"/>
      <c r="M177" s="254"/>
      <c r="N177" s="261"/>
      <c r="O177" s="224"/>
      <c r="P177" s="130"/>
      <c r="Q177" s="135"/>
      <c r="R177" s="132"/>
      <c r="S177" s="134"/>
      <c r="T177" s="133"/>
      <c r="V177" s="58"/>
    </row>
    <row r="178" spans="2:22" ht="15" customHeight="1">
      <c r="B178" s="73"/>
      <c r="C178" s="182"/>
      <c r="D178" s="191"/>
      <c r="E178" s="185"/>
      <c r="G178" s="58"/>
      <c r="I178" s="130"/>
      <c r="J178" s="207"/>
      <c r="K178" s="207"/>
      <c r="L178" s="153"/>
      <c r="M178" s="254"/>
      <c r="N178" s="261"/>
      <c r="O178" s="224"/>
      <c r="P178" s="130"/>
      <c r="Q178" s="135"/>
      <c r="R178" s="132"/>
      <c r="S178" s="134"/>
      <c r="T178" s="133"/>
      <c r="V178" s="58"/>
    </row>
    <row r="179" spans="2:22" ht="15" customHeight="1">
      <c r="B179" s="73"/>
      <c r="C179" s="182"/>
      <c r="D179" s="191"/>
      <c r="E179" s="185"/>
      <c r="G179" s="58"/>
      <c r="I179" s="130"/>
      <c r="J179" s="207"/>
      <c r="K179" s="207"/>
      <c r="L179" s="153"/>
      <c r="M179" s="254"/>
      <c r="N179" s="261"/>
      <c r="O179" s="224"/>
      <c r="P179" s="130"/>
      <c r="Q179" s="135"/>
      <c r="R179" s="132"/>
      <c r="S179" s="134"/>
      <c r="T179" s="133"/>
      <c r="V179" s="58"/>
    </row>
    <row r="180" spans="2:22" ht="15" customHeight="1">
      <c r="B180" s="73"/>
      <c r="C180" s="182"/>
      <c r="D180" s="191"/>
      <c r="E180" s="185"/>
      <c r="G180" s="58"/>
      <c r="I180" s="130"/>
      <c r="J180" s="207"/>
      <c r="K180" s="207"/>
      <c r="L180" s="153"/>
      <c r="M180" s="254"/>
      <c r="N180" s="261"/>
      <c r="O180" s="224"/>
      <c r="P180" s="130"/>
      <c r="Q180" s="135"/>
      <c r="R180" s="132"/>
      <c r="S180" s="134"/>
      <c r="T180" s="133"/>
      <c r="V180" s="58"/>
    </row>
    <row r="181" spans="2:22" ht="15" customHeight="1">
      <c r="B181" s="73"/>
      <c r="C181" s="182"/>
      <c r="D181" s="191"/>
      <c r="E181" s="185"/>
      <c r="G181" s="58"/>
      <c r="I181" s="130"/>
      <c r="J181" s="207"/>
      <c r="K181" s="207"/>
      <c r="L181" s="153"/>
      <c r="M181" s="254"/>
      <c r="N181" s="261"/>
      <c r="O181" s="224"/>
      <c r="P181" s="130"/>
      <c r="Q181" s="135"/>
      <c r="R181" s="132"/>
      <c r="S181" s="134"/>
      <c r="T181" s="133"/>
      <c r="V181" s="58"/>
    </row>
    <row r="182" spans="2:22" ht="15" customHeight="1">
      <c r="B182" s="73"/>
      <c r="C182" s="182"/>
      <c r="D182" s="191"/>
      <c r="E182" s="185"/>
      <c r="G182" s="58"/>
      <c r="I182" s="130"/>
      <c r="J182" s="207"/>
      <c r="K182" s="207"/>
      <c r="L182" s="153"/>
      <c r="M182" s="254"/>
      <c r="N182" s="261"/>
      <c r="O182" s="224"/>
      <c r="P182" s="130"/>
      <c r="Q182" s="135"/>
      <c r="R182" s="132"/>
      <c r="S182" s="134"/>
      <c r="T182" s="133"/>
      <c r="V182" s="58"/>
    </row>
    <row r="183" spans="2:22" ht="15" customHeight="1">
      <c r="B183" s="73"/>
      <c r="C183" s="182"/>
      <c r="D183" s="191"/>
      <c r="E183" s="185"/>
      <c r="G183" s="58"/>
      <c r="I183" s="130"/>
      <c r="J183" s="207"/>
      <c r="K183" s="207"/>
      <c r="L183" s="153"/>
      <c r="M183" s="254"/>
      <c r="N183" s="261"/>
      <c r="O183" s="224"/>
      <c r="P183" s="130"/>
      <c r="Q183" s="135"/>
      <c r="R183" s="132"/>
      <c r="S183" s="134"/>
      <c r="T183" s="133"/>
      <c r="V183" s="58"/>
    </row>
    <row r="184" spans="2:22" ht="15" customHeight="1">
      <c r="B184" s="73"/>
      <c r="C184" s="182"/>
      <c r="D184" s="191"/>
      <c r="E184" s="185"/>
      <c r="G184" s="58"/>
      <c r="I184" s="130"/>
      <c r="J184" s="207"/>
      <c r="K184" s="207"/>
      <c r="L184" s="153"/>
      <c r="M184" s="254"/>
      <c r="N184" s="261"/>
      <c r="O184" s="224"/>
      <c r="P184" s="130"/>
      <c r="Q184" s="135"/>
      <c r="R184" s="132"/>
      <c r="S184" s="134"/>
      <c r="T184" s="133"/>
      <c r="V184" s="58"/>
    </row>
    <row r="185" spans="2:22" ht="15" customHeight="1">
      <c r="B185" s="73"/>
      <c r="C185" s="182"/>
      <c r="D185" s="191"/>
      <c r="E185" s="185"/>
      <c r="G185" s="58"/>
      <c r="I185" s="130"/>
      <c r="J185" s="207"/>
      <c r="K185" s="207"/>
      <c r="L185" s="153"/>
      <c r="M185" s="254"/>
      <c r="N185" s="261"/>
      <c r="O185" s="224"/>
      <c r="P185" s="130"/>
      <c r="Q185" s="135"/>
      <c r="R185" s="132"/>
      <c r="S185" s="134"/>
      <c r="T185" s="133"/>
      <c r="V185" s="58"/>
    </row>
    <row r="186" spans="2:22" ht="15" customHeight="1">
      <c r="B186" s="73"/>
      <c r="C186" s="182"/>
      <c r="D186" s="191"/>
      <c r="E186" s="185"/>
      <c r="G186" s="58"/>
      <c r="I186" s="130"/>
      <c r="J186" s="207"/>
      <c r="K186" s="207"/>
      <c r="L186" s="153"/>
      <c r="M186" s="254"/>
      <c r="N186" s="261"/>
      <c r="O186" s="224"/>
      <c r="P186" s="130"/>
      <c r="Q186" s="135"/>
      <c r="R186" s="132"/>
      <c r="S186" s="134"/>
      <c r="T186" s="133"/>
      <c r="V186" s="58"/>
    </row>
    <row r="187" spans="2:22" ht="15" customHeight="1">
      <c r="B187" s="73"/>
      <c r="C187" s="182"/>
      <c r="D187" s="191"/>
      <c r="E187" s="185"/>
      <c r="G187" s="58"/>
      <c r="I187" s="130"/>
      <c r="J187" s="207"/>
      <c r="K187" s="207"/>
      <c r="L187" s="153"/>
      <c r="M187" s="254"/>
      <c r="N187" s="261"/>
      <c r="O187" s="224"/>
      <c r="P187" s="130"/>
      <c r="Q187" s="135"/>
      <c r="R187" s="132"/>
      <c r="S187" s="134"/>
      <c r="T187" s="133"/>
      <c r="V187" s="58"/>
    </row>
    <row r="188" spans="2:22" ht="15" customHeight="1">
      <c r="B188" s="73"/>
      <c r="C188" s="182"/>
      <c r="D188" s="191"/>
      <c r="E188" s="185"/>
      <c r="G188" s="58"/>
      <c r="I188" s="130"/>
      <c r="J188" s="207"/>
      <c r="K188" s="207"/>
      <c r="L188" s="153"/>
      <c r="M188" s="254"/>
      <c r="N188" s="261"/>
      <c r="O188" s="224"/>
      <c r="P188" s="130"/>
      <c r="Q188" s="135"/>
      <c r="R188" s="132"/>
      <c r="S188" s="134"/>
      <c r="T188" s="133"/>
      <c r="V188" s="58"/>
    </row>
    <row r="189" spans="2:22" ht="15" customHeight="1">
      <c r="B189" s="73"/>
      <c r="C189" s="182"/>
      <c r="D189" s="191"/>
      <c r="E189" s="185"/>
      <c r="G189" s="58"/>
      <c r="I189" s="130"/>
      <c r="J189" s="207"/>
      <c r="K189" s="207"/>
      <c r="L189" s="153"/>
      <c r="M189" s="254"/>
      <c r="N189" s="261"/>
      <c r="O189" s="224"/>
      <c r="P189" s="130"/>
      <c r="Q189" s="135"/>
      <c r="R189" s="132"/>
      <c r="S189" s="134"/>
      <c r="T189" s="133"/>
      <c r="V189" s="58"/>
    </row>
    <row r="190" spans="2:22" ht="15" customHeight="1">
      <c r="B190" s="73"/>
      <c r="C190" s="182"/>
      <c r="D190" s="191"/>
      <c r="E190" s="185"/>
      <c r="G190" s="58"/>
      <c r="I190" s="130"/>
      <c r="J190" s="207"/>
      <c r="K190" s="207"/>
      <c r="L190" s="153"/>
      <c r="M190" s="254"/>
      <c r="N190" s="261"/>
      <c r="O190" s="224"/>
      <c r="P190" s="130"/>
      <c r="Q190" s="135"/>
      <c r="R190" s="132"/>
      <c r="S190" s="134"/>
      <c r="T190" s="133"/>
      <c r="V190" s="58"/>
    </row>
    <row r="191" spans="2:22" ht="15" customHeight="1">
      <c r="B191" s="73"/>
      <c r="C191" s="182"/>
      <c r="D191" s="191"/>
      <c r="E191" s="185"/>
      <c r="G191" s="58"/>
      <c r="I191" s="130"/>
      <c r="J191" s="207"/>
      <c r="K191" s="207"/>
      <c r="L191" s="153"/>
      <c r="M191" s="254"/>
      <c r="N191" s="261"/>
      <c r="O191" s="224"/>
      <c r="P191" s="130"/>
      <c r="Q191" s="135"/>
      <c r="R191" s="132"/>
      <c r="S191" s="134"/>
      <c r="T191" s="133"/>
      <c r="V191" s="58"/>
    </row>
    <row r="192" spans="2:22" ht="15" customHeight="1">
      <c r="B192" s="73"/>
      <c r="C192" s="182"/>
      <c r="D192" s="191"/>
      <c r="E192" s="185"/>
      <c r="G192" s="58"/>
      <c r="I192" s="130"/>
      <c r="J192" s="207"/>
      <c r="K192" s="207"/>
      <c r="L192" s="153"/>
      <c r="M192" s="254"/>
      <c r="N192" s="261"/>
      <c r="O192" s="224"/>
      <c r="P192" s="130"/>
      <c r="Q192" s="135"/>
      <c r="R192" s="132"/>
      <c r="S192" s="134"/>
      <c r="T192" s="133"/>
      <c r="V192" s="58"/>
    </row>
    <row r="193" spans="2:22" ht="15" customHeight="1">
      <c r="B193" s="73"/>
      <c r="C193" s="182"/>
      <c r="D193" s="191"/>
      <c r="E193" s="185"/>
      <c r="G193" s="58"/>
      <c r="I193" s="130"/>
      <c r="J193" s="207"/>
      <c r="K193" s="207"/>
      <c r="L193" s="153"/>
      <c r="M193" s="254"/>
      <c r="N193" s="261"/>
      <c r="O193" s="224"/>
      <c r="P193" s="130"/>
      <c r="Q193" s="135"/>
      <c r="R193" s="132"/>
      <c r="S193" s="134"/>
      <c r="T193" s="133"/>
      <c r="V193" s="58"/>
    </row>
    <row r="194" spans="2:22" ht="15" customHeight="1">
      <c r="B194" s="73"/>
      <c r="C194" s="182"/>
      <c r="D194" s="191"/>
      <c r="E194" s="185"/>
      <c r="G194" s="58"/>
      <c r="I194" s="130"/>
      <c r="J194" s="207"/>
      <c r="K194" s="207"/>
      <c r="L194" s="153"/>
      <c r="M194" s="254"/>
      <c r="N194" s="261"/>
      <c r="O194" s="224"/>
      <c r="P194" s="130"/>
      <c r="Q194" s="135"/>
      <c r="R194" s="132"/>
      <c r="S194" s="134"/>
      <c r="T194" s="133"/>
      <c r="V194" s="58"/>
    </row>
    <row r="195" spans="2:22" ht="15" customHeight="1">
      <c r="B195" s="73"/>
      <c r="C195" s="182"/>
      <c r="D195" s="191"/>
      <c r="E195" s="185"/>
      <c r="G195" s="58"/>
      <c r="I195" s="130"/>
      <c r="J195" s="207"/>
      <c r="K195" s="207"/>
      <c r="L195" s="153"/>
      <c r="M195" s="254"/>
      <c r="N195" s="261"/>
      <c r="O195" s="224"/>
      <c r="P195" s="130"/>
      <c r="Q195" s="135"/>
      <c r="R195" s="132"/>
      <c r="S195" s="134"/>
      <c r="T195" s="133"/>
      <c r="V195" s="58"/>
    </row>
    <row r="196" spans="2:22" ht="15" customHeight="1">
      <c r="B196" s="73"/>
      <c r="C196" s="182"/>
      <c r="D196" s="191"/>
      <c r="E196" s="185"/>
      <c r="G196" s="58"/>
      <c r="I196" s="130"/>
      <c r="J196" s="207"/>
      <c r="K196" s="207"/>
      <c r="L196" s="153"/>
      <c r="M196" s="254"/>
      <c r="N196" s="261"/>
      <c r="O196" s="224"/>
      <c r="P196" s="130"/>
      <c r="Q196" s="135"/>
      <c r="R196" s="132"/>
      <c r="S196" s="134"/>
      <c r="T196" s="133"/>
      <c r="V196" s="58"/>
    </row>
    <row r="197" spans="2:22" ht="15" customHeight="1">
      <c r="B197" s="73"/>
      <c r="C197" s="182"/>
      <c r="D197" s="191"/>
      <c r="E197" s="185"/>
      <c r="G197" s="58"/>
      <c r="I197" s="130"/>
      <c r="J197" s="207"/>
      <c r="K197" s="207"/>
      <c r="L197" s="153"/>
      <c r="M197" s="254"/>
      <c r="N197" s="261"/>
      <c r="O197" s="224"/>
      <c r="P197" s="130"/>
      <c r="Q197" s="135"/>
      <c r="R197" s="132"/>
      <c r="S197" s="134"/>
      <c r="T197" s="133"/>
      <c r="V197" s="58"/>
    </row>
    <row r="198" spans="2:22" ht="15" customHeight="1">
      <c r="B198" s="73"/>
      <c r="C198" s="182"/>
      <c r="D198" s="191"/>
      <c r="E198" s="185"/>
      <c r="G198" s="58"/>
      <c r="I198" s="130"/>
      <c r="J198" s="207"/>
      <c r="K198" s="207"/>
      <c r="L198" s="153"/>
      <c r="M198" s="254"/>
      <c r="N198" s="261"/>
      <c r="O198" s="224"/>
      <c r="P198" s="130"/>
      <c r="Q198" s="135"/>
      <c r="R198" s="132"/>
      <c r="S198" s="134"/>
      <c r="T198" s="133"/>
      <c r="V198" s="58"/>
    </row>
    <row r="199" spans="2:22" ht="15" customHeight="1">
      <c r="B199" s="73" t="str">
        <f>IF(C199="","",B168+1)</f>
        <v/>
      </c>
      <c r="C199" s="182"/>
      <c r="D199" s="191"/>
      <c r="E199" s="185"/>
      <c r="G199" s="58" t="str">
        <f>IF(OR(C199="",I199="Pago"),"",C199)</f>
        <v/>
      </c>
      <c r="I199" s="130"/>
      <c r="J199" s="207">
        <f>C199+D199</f>
        <v>0</v>
      </c>
      <c r="K199" s="207">
        <f>IFERROR(VLOOKUP(J199,$AO$5:$AO$173,1,0),"")</f>
        <v>0</v>
      </c>
      <c r="L199" s="153"/>
      <c r="M199" s="254">
        <f>IF(L199=$Y$103,MAX($M$10:M168)+1,0)</f>
        <v>0</v>
      </c>
      <c r="N199" s="261">
        <f>IF(L199=$Y$119,MAX($N$10:N168)+1,0)</f>
        <v>0</v>
      </c>
      <c r="O199" s="224"/>
      <c r="P199" s="130"/>
      <c r="Q199" s="135" t="str">
        <f>IF(P199="AV","8",IF(AND(J199=0,K199=0),"",IF(J199=K199,"P",IF(J199&lt;&gt;K199,"O"))))</f>
        <v/>
      </c>
      <c r="R199" s="132"/>
      <c r="S199" s="134" t="str">
        <f>IF(R199="","","de")</f>
        <v/>
      </c>
      <c r="T199" s="133"/>
      <c r="V199" s="58" t="str">
        <f>IF(I168="Pago",C168,"")</f>
        <v/>
      </c>
    </row>
    <row r="200" spans="2:22" ht="15" customHeight="1">
      <c r="B200" s="155" t="str">
        <f>IF(C200="","",B199+1)</f>
        <v/>
      </c>
      <c r="C200" s="214"/>
      <c r="D200" s="215"/>
      <c r="E200" s="216"/>
      <c r="G200" s="67" t="str">
        <f>IF(OR(C200="",I200="Pago"),"",C200)</f>
        <v/>
      </c>
      <c r="I200" s="165"/>
      <c r="J200" s="208">
        <f>C200+D200</f>
        <v>0</v>
      </c>
      <c r="K200" s="207">
        <f>IFERROR(VLOOKUP(J200,$AO$5:$AO$173,1,0),"")</f>
        <v>0</v>
      </c>
      <c r="L200" s="251"/>
      <c r="M200" s="255">
        <f>IF(L200=$Y$103,MAX($M$10:M199)+1,0)</f>
        <v>0</v>
      </c>
      <c r="N200" s="262">
        <f>IF(L200=$Y$119,MAX($N$10:N199)+1,0)</f>
        <v>0</v>
      </c>
      <c r="O200" s="252"/>
      <c r="P200" s="131"/>
      <c r="Q200" s="136" t="str">
        <f>IF(P200="AV","8",IF(AND(J200=0,K200=0),"",IF(J200=K200,"P",IF(J200&lt;&gt;K200,"O"))))</f>
        <v/>
      </c>
      <c r="R200" s="156"/>
      <c r="S200" s="143" t="str">
        <f>IF(R200="","","de")</f>
        <v/>
      </c>
      <c r="T200" s="144"/>
      <c r="V200" s="67" t="str">
        <f>IF(I199="Pago",C199,"")</f>
        <v/>
      </c>
    </row>
  </sheetData>
  <autoFilter ref="G6:V200" xr:uid="{00000000-0009-0000-0000-000001000000}">
    <filterColumn colId="11" showButton="0"/>
    <filterColumn colId="12" showButton="0"/>
  </autoFilter>
  <mergeCells count="155">
    <mergeCell ref="AW3:AZ4"/>
    <mergeCell ref="I4:T5"/>
    <mergeCell ref="AA5:AB6"/>
    <mergeCell ref="AC5:AC6"/>
    <mergeCell ref="AG5:AG6"/>
    <mergeCell ref="AH5:AH6"/>
    <mergeCell ref="AY5:AZ6"/>
    <mergeCell ref="O6:O9"/>
    <mergeCell ref="P6:P9"/>
    <mergeCell ref="I2:L3"/>
    <mergeCell ref="AP3:AP4"/>
    <mergeCell ref="AQ3:AQ4"/>
    <mergeCell ref="AR3:AT4"/>
    <mergeCell ref="AU3:AU4"/>
    <mergeCell ref="AX7:AZ7"/>
    <mergeCell ref="M2:T3"/>
    <mergeCell ref="C8:C9"/>
    <mergeCell ref="G8:G9"/>
    <mergeCell ref="V8:V9"/>
    <mergeCell ref="Y8:Z8"/>
    <mergeCell ref="AA8:AB8"/>
    <mergeCell ref="AJ8:AK9"/>
    <mergeCell ref="AX8:AZ8"/>
    <mergeCell ref="Y9:Z9"/>
    <mergeCell ref="AA9:AB9"/>
    <mergeCell ref="Q6:Q9"/>
    <mergeCell ref="R6:T9"/>
    <mergeCell ref="V6:V7"/>
    <mergeCell ref="Y7:Z7"/>
    <mergeCell ref="AA7:AB7"/>
    <mergeCell ref="AD7:AD8"/>
    <mergeCell ref="C6:C7"/>
    <mergeCell ref="D6:D9"/>
    <mergeCell ref="E6:E9"/>
    <mergeCell ref="G6:G7"/>
    <mergeCell ref="I6:I9"/>
    <mergeCell ref="L6:L9"/>
    <mergeCell ref="M7:M9"/>
    <mergeCell ref="N7:N9"/>
    <mergeCell ref="AU5:AU7"/>
    <mergeCell ref="BD13:BE14"/>
    <mergeCell ref="Y14:Z14"/>
    <mergeCell ref="AA14:AB14"/>
    <mergeCell ref="AW14:AY15"/>
    <mergeCell ref="Y15:Z15"/>
    <mergeCell ref="AW9:AZ10"/>
    <mergeCell ref="Y10:Z10"/>
    <mergeCell ref="AA10:AB10"/>
    <mergeCell ref="BB10:BC11"/>
    <mergeCell ref="Y11:Z11"/>
    <mergeCell ref="AA11:AB11"/>
    <mergeCell ref="AA15:AB15"/>
    <mergeCell ref="Y16:Z16"/>
    <mergeCell ref="AA16:AB16"/>
    <mergeCell ref="AG16:AG18"/>
    <mergeCell ref="AH16:AH18"/>
    <mergeCell ref="AI16:AI18"/>
    <mergeCell ref="Y12:Z12"/>
    <mergeCell ref="AA12:AB12"/>
    <mergeCell ref="AW12:AY13"/>
    <mergeCell ref="Y13:Z13"/>
    <mergeCell ref="AA13:AB13"/>
    <mergeCell ref="AW20:AY21"/>
    <mergeCell ref="AC21:AC23"/>
    <mergeCell ref="AD21:AF23"/>
    <mergeCell ref="AG21:AG23"/>
    <mergeCell ref="AW22:AY23"/>
    <mergeCell ref="AW24:AY25"/>
    <mergeCell ref="AW16:AY17"/>
    <mergeCell ref="BF16:BG17"/>
    <mergeCell ref="AA17:AB18"/>
    <mergeCell ref="AC17:AC18"/>
    <mergeCell ref="AD17:AD18"/>
    <mergeCell ref="AW18:AY19"/>
    <mergeCell ref="AE52:AF53"/>
    <mergeCell ref="Y58:Y59"/>
    <mergeCell ref="AA58:AA59"/>
    <mergeCell ref="AC58:AC59"/>
    <mergeCell ref="AD58:AD59"/>
    <mergeCell ref="AE58:AE59"/>
    <mergeCell ref="AF58:AF59"/>
    <mergeCell ref="AG28:AG29"/>
    <mergeCell ref="AH28:AH29"/>
    <mergeCell ref="Y50:Y51"/>
    <mergeCell ref="AC50:AC51"/>
    <mergeCell ref="AD50:AD51"/>
    <mergeCell ref="AE50:AE51"/>
    <mergeCell ref="AF50:AF51"/>
    <mergeCell ref="AG50:AG51"/>
    <mergeCell ref="AH50:AH51"/>
    <mergeCell ref="Y28:Y29"/>
    <mergeCell ref="AA28:AA29"/>
    <mergeCell ref="AC28:AC29"/>
    <mergeCell ref="AD28:AD29"/>
    <mergeCell ref="AE28:AE29"/>
    <mergeCell ref="AF28:AF29"/>
    <mergeCell ref="Y103:AE104"/>
    <mergeCell ref="AC127:AD127"/>
    <mergeCell ref="AC126:AD126"/>
    <mergeCell ref="AC105:AD105"/>
    <mergeCell ref="AE87:AE88"/>
    <mergeCell ref="AF87:AF88"/>
    <mergeCell ref="Y80:Y81"/>
    <mergeCell ref="AC80:AC81"/>
    <mergeCell ref="AD80:AD81"/>
    <mergeCell ref="AE80:AE81"/>
    <mergeCell ref="AF80:AF81"/>
    <mergeCell ref="AD83:AD84"/>
    <mergeCell ref="AE83:AE84"/>
    <mergeCell ref="AF83:AF84"/>
    <mergeCell ref="AD85:AD86"/>
    <mergeCell ref="AE85:AE86"/>
    <mergeCell ref="AF85:AF86"/>
    <mergeCell ref="AD87:AD88"/>
    <mergeCell ref="AD97:AD98"/>
    <mergeCell ref="AE97:AE98"/>
    <mergeCell ref="AF97:AF98"/>
    <mergeCell ref="AD99:AD100"/>
    <mergeCell ref="AE99:AE100"/>
    <mergeCell ref="AF99:AF100"/>
    <mergeCell ref="AD95:AD96"/>
    <mergeCell ref="AE95:AE96"/>
    <mergeCell ref="AF95:AF96"/>
    <mergeCell ref="AD93:AD94"/>
    <mergeCell ref="AE93:AE94"/>
    <mergeCell ref="AF93:AF94"/>
    <mergeCell ref="AD89:AD90"/>
    <mergeCell ref="AE89:AE90"/>
    <mergeCell ref="AF89:AF90"/>
    <mergeCell ref="AD91:AD92"/>
    <mergeCell ref="AE91:AE92"/>
    <mergeCell ref="AF91:AF92"/>
    <mergeCell ref="AC106:AD106"/>
    <mergeCell ref="AC107:AD107"/>
    <mergeCell ref="AC108:AD108"/>
    <mergeCell ref="AC109:AD109"/>
    <mergeCell ref="Y119:AE120"/>
    <mergeCell ref="AC121:AD121"/>
    <mergeCell ref="Y116:AE117"/>
    <mergeCell ref="AC122:AD122"/>
    <mergeCell ref="AC123:AD123"/>
    <mergeCell ref="AC124:AD124"/>
    <mergeCell ref="AC125:AD125"/>
    <mergeCell ref="AR108:AT109"/>
    <mergeCell ref="AR130:AT131"/>
    <mergeCell ref="AR152:AT153"/>
    <mergeCell ref="AR174:AT175"/>
    <mergeCell ref="AU154:AU156"/>
    <mergeCell ref="AU132:AU134"/>
    <mergeCell ref="AU110:AU112"/>
    <mergeCell ref="AC128:AD128"/>
    <mergeCell ref="AC129:AD129"/>
    <mergeCell ref="AC130:AD130"/>
    <mergeCell ref="AC131:AD131"/>
    <mergeCell ref="Y132:AE133"/>
  </mergeCells>
  <conditionalFormatting sqref="B10:B200">
    <cfRule type="cellIs" dxfId="153" priority="1757" operator="notEqual">
      <formula>""</formula>
    </cfRule>
    <cfRule type="cellIs" dxfId="152" priority="1758" operator="equal">
      <formula>""</formula>
    </cfRule>
  </conditionalFormatting>
  <conditionalFormatting sqref="C33:C47">
    <cfRule type="cellIs" dxfId="151" priority="261" operator="notEqual">
      <formula>""</formula>
    </cfRule>
    <cfRule type="cellIs" dxfId="150" priority="262" operator="equal">
      <formula>""</formula>
    </cfRule>
  </conditionalFormatting>
  <conditionalFormatting sqref="C57:C72">
    <cfRule type="cellIs" dxfId="149" priority="68" operator="notEqual">
      <formula>""</formula>
    </cfRule>
  </conditionalFormatting>
  <conditionalFormatting sqref="C74:C200">
    <cfRule type="cellIs" dxfId="148" priority="12" operator="notEqual">
      <formula>""</formula>
    </cfRule>
  </conditionalFormatting>
  <conditionalFormatting sqref="C10:D39">
    <cfRule type="cellIs" dxfId="147" priority="97" operator="notEqual">
      <formula>""</formula>
    </cfRule>
    <cfRule type="cellIs" dxfId="146" priority="98" operator="equal">
      <formula>""</formula>
    </cfRule>
  </conditionalFormatting>
  <conditionalFormatting sqref="C48:D56">
    <cfRule type="cellIs" dxfId="145" priority="181" operator="notEqual">
      <formula>""</formula>
    </cfRule>
  </conditionalFormatting>
  <conditionalFormatting sqref="C48:D57">
    <cfRule type="cellIs" dxfId="144" priority="183" operator="notEqual">
      <formula>""</formula>
    </cfRule>
  </conditionalFormatting>
  <conditionalFormatting sqref="C48:D200">
    <cfRule type="cellIs" dxfId="143" priority="2" operator="equal">
      <formula>""</formula>
    </cfRule>
  </conditionalFormatting>
  <conditionalFormatting sqref="C58:D58">
    <cfRule type="cellIs" dxfId="142" priority="1579" operator="notEqual">
      <formula>""</formula>
    </cfRule>
  </conditionalFormatting>
  <conditionalFormatting sqref="C73:D73">
    <cfRule type="cellIs" dxfId="141" priority="35" operator="notEqual">
      <formula>""</formula>
    </cfRule>
  </conditionalFormatting>
  <conditionalFormatting sqref="D40:D45">
    <cfRule type="cellIs" dxfId="140" priority="348" operator="notEqual">
      <formula>""</formula>
    </cfRule>
  </conditionalFormatting>
  <conditionalFormatting sqref="D40:D47">
    <cfRule type="cellIs" dxfId="139" priority="237" operator="equal">
      <formula>""</formula>
    </cfRule>
  </conditionalFormatting>
  <conditionalFormatting sqref="D46:D47">
    <cfRule type="cellIs" dxfId="138" priority="236" operator="notEqual">
      <formula>""</formula>
    </cfRule>
  </conditionalFormatting>
  <conditionalFormatting sqref="D57:D72">
    <cfRule type="cellIs" dxfId="137" priority="43" operator="notEqual">
      <formula>""</formula>
    </cfRule>
  </conditionalFormatting>
  <conditionalFormatting sqref="D71">
    <cfRule type="cellIs" dxfId="136" priority="44" operator="equal">
      <formula>""</formula>
    </cfRule>
  </conditionalFormatting>
  <conditionalFormatting sqref="D74:D200">
    <cfRule type="cellIs" dxfId="135" priority="1" operator="notEqual">
      <formula>""</formula>
    </cfRule>
  </conditionalFormatting>
  <conditionalFormatting sqref="G10:G200">
    <cfRule type="cellIs" dxfId="134" priority="10" operator="notEqual">
      <formula>""</formula>
    </cfRule>
    <cfRule type="cellIs" dxfId="133" priority="11" operator="equal">
      <formula>""</formula>
    </cfRule>
  </conditionalFormatting>
  <conditionalFormatting sqref="I10:I200 O73:Q200">
    <cfRule type="cellIs" dxfId="132" priority="9" operator="equal">
      <formula>""</formula>
    </cfRule>
  </conditionalFormatting>
  <conditionalFormatting sqref="L10:L39">
    <cfRule type="cellIs" dxfId="131" priority="1623" operator="equal">
      <formula>"João"</formula>
    </cfRule>
    <cfRule type="cellIs" dxfId="130" priority="1624" operator="equal">
      <formula>"Flavia"</formula>
    </cfRule>
    <cfRule type="cellIs" dxfId="129" priority="1625" operator="notEqual">
      <formula>""</formula>
    </cfRule>
  </conditionalFormatting>
  <conditionalFormatting sqref="L10:L200">
    <cfRule type="cellIs" dxfId="128" priority="6" operator="equal">
      <formula>""</formula>
    </cfRule>
  </conditionalFormatting>
  <conditionalFormatting sqref="L34:L36">
    <cfRule type="cellIs" dxfId="127" priority="644" operator="equal">
      <formula>"João"</formula>
    </cfRule>
    <cfRule type="cellIs" dxfId="126" priority="645" operator="equal">
      <formula>"Flavia"</formula>
    </cfRule>
    <cfRule type="cellIs" dxfId="125" priority="650" operator="notEqual">
      <formula>""</formula>
    </cfRule>
  </conditionalFormatting>
  <conditionalFormatting sqref="L35:L38">
    <cfRule type="cellIs" dxfId="124" priority="1050" operator="equal">
      <formula>"João"</formula>
    </cfRule>
    <cfRule type="cellIs" dxfId="123" priority="1051" operator="equal">
      <formula>"Flavia"</formula>
    </cfRule>
    <cfRule type="cellIs" dxfId="122" priority="1056" operator="notEqual">
      <formula>""</formula>
    </cfRule>
  </conditionalFormatting>
  <conditionalFormatting sqref="L40:L42">
    <cfRule type="cellIs" dxfId="121" priority="482" operator="equal">
      <formula>"João"</formula>
    </cfRule>
    <cfRule type="cellIs" dxfId="120" priority="483" operator="equal">
      <formula>"Flavia"</formula>
    </cfRule>
    <cfRule type="cellIs" dxfId="119" priority="484" operator="notEqual">
      <formula>""</formula>
    </cfRule>
  </conditionalFormatting>
  <conditionalFormatting sqref="L42">
    <cfRule type="cellIs" dxfId="118" priority="460" operator="equal">
      <formula>"João"</formula>
    </cfRule>
    <cfRule type="cellIs" dxfId="117" priority="461" operator="equal">
      <formula>"Flavia"</formula>
    </cfRule>
    <cfRule type="cellIs" dxfId="116" priority="462" operator="notEqual">
      <formula>""</formula>
    </cfRule>
  </conditionalFormatting>
  <conditionalFormatting sqref="L42:L45">
    <cfRule type="cellIs" dxfId="115" priority="417" operator="equal">
      <formula>"João"</formula>
    </cfRule>
    <cfRule type="cellIs" dxfId="114" priority="418" operator="equal">
      <formula>"Flavia"</formula>
    </cfRule>
    <cfRule type="cellIs" dxfId="113" priority="419" operator="notEqual">
      <formula>""</formula>
    </cfRule>
  </conditionalFormatting>
  <conditionalFormatting sqref="L43:L45">
    <cfRule type="cellIs" dxfId="112" priority="355" operator="equal">
      <formula>"João"</formula>
    </cfRule>
    <cfRule type="cellIs" dxfId="111" priority="356" operator="equal">
      <formula>"Flavia"</formula>
    </cfRule>
    <cfRule type="cellIs" dxfId="110" priority="357" operator="notEqual">
      <formula>""</formula>
    </cfRule>
  </conditionalFormatting>
  <conditionalFormatting sqref="L43:L60">
    <cfRule type="cellIs" dxfId="109" priority="173" operator="equal">
      <formula>"João"</formula>
    </cfRule>
    <cfRule type="cellIs" dxfId="108" priority="174" operator="equal">
      <formula>"Flavia"</formula>
    </cfRule>
    <cfRule type="cellIs" dxfId="107" priority="175" operator="notEqual">
      <formula>""</formula>
    </cfRule>
  </conditionalFormatting>
  <conditionalFormatting sqref="L48:L59">
    <cfRule type="cellIs" dxfId="106" priority="1581" operator="equal">
      <formula>"João"</formula>
    </cfRule>
    <cfRule type="cellIs" dxfId="105" priority="1582" operator="equal">
      <formula>"Flavia"</formula>
    </cfRule>
    <cfRule type="cellIs" dxfId="104" priority="1583" operator="notEqual">
      <formula>""</formula>
    </cfRule>
  </conditionalFormatting>
  <conditionalFormatting sqref="L60:L62">
    <cfRule type="cellIs" dxfId="103" priority="155" operator="equal">
      <formula>"João"</formula>
    </cfRule>
    <cfRule type="cellIs" dxfId="102" priority="156" operator="equal">
      <formula>"Flavia"</formula>
    </cfRule>
    <cfRule type="cellIs" dxfId="101" priority="157" operator="notEqual">
      <formula>""</formula>
    </cfRule>
  </conditionalFormatting>
  <conditionalFormatting sqref="L61">
    <cfRule type="cellIs" dxfId="100" priority="149" operator="equal">
      <formula>"João"</formula>
    </cfRule>
    <cfRule type="cellIs" dxfId="99" priority="150" operator="equal">
      <formula>"Flavia"</formula>
    </cfRule>
    <cfRule type="cellIs" dxfId="98" priority="151" operator="notEqual">
      <formula>""</formula>
    </cfRule>
  </conditionalFormatting>
  <conditionalFormatting sqref="L63:L65">
    <cfRule type="cellIs" dxfId="97" priority="137" operator="equal">
      <formula>"João"</formula>
    </cfRule>
    <cfRule type="cellIs" dxfId="96" priority="138" operator="equal">
      <formula>"Flavia"</formula>
    </cfRule>
    <cfRule type="cellIs" dxfId="95" priority="139" operator="notEqual">
      <formula>""</formula>
    </cfRule>
  </conditionalFormatting>
  <conditionalFormatting sqref="L64 L69:L70">
    <cfRule type="cellIs" dxfId="94" priority="1633" operator="equal">
      <formula>"João"</formula>
    </cfRule>
    <cfRule type="cellIs" dxfId="93" priority="1634" operator="equal">
      <formula>"Flavia"</formula>
    </cfRule>
    <cfRule type="cellIs" dxfId="92" priority="1635" operator="notEqual">
      <formula>""</formula>
    </cfRule>
  </conditionalFormatting>
  <conditionalFormatting sqref="L65:L66">
    <cfRule type="cellIs" dxfId="91" priority="125" operator="equal">
      <formula>"João"</formula>
    </cfRule>
    <cfRule type="cellIs" dxfId="90" priority="126" operator="equal">
      <formula>"Flavia"</formula>
    </cfRule>
    <cfRule type="cellIs" dxfId="89" priority="127" operator="notEqual">
      <formula>""</formula>
    </cfRule>
  </conditionalFormatting>
  <conditionalFormatting sqref="L66:L70">
    <cfRule type="cellIs" dxfId="88" priority="109" operator="equal">
      <formula>"João"</formula>
    </cfRule>
    <cfRule type="cellIs" dxfId="87" priority="110" operator="equal">
      <formula>"Flavia"</formula>
    </cfRule>
    <cfRule type="cellIs" dxfId="86" priority="111" operator="notEqual">
      <formula>""</formula>
    </cfRule>
  </conditionalFormatting>
  <conditionalFormatting sqref="L67">
    <cfRule type="cellIs" dxfId="85" priority="101" operator="equal">
      <formula>"João"</formula>
    </cfRule>
    <cfRule type="cellIs" dxfId="84" priority="102" operator="equal">
      <formula>"Flavia"</formula>
    </cfRule>
    <cfRule type="cellIs" dxfId="83" priority="103" operator="notEqual">
      <formula>""</formula>
    </cfRule>
  </conditionalFormatting>
  <conditionalFormatting sqref="L71">
    <cfRule type="cellIs" dxfId="82" priority="48" operator="equal">
      <formula>"João"</formula>
    </cfRule>
    <cfRule type="cellIs" dxfId="81" priority="49" operator="equal">
      <formula>"Flavia"</formula>
    </cfRule>
    <cfRule type="cellIs" dxfId="80" priority="50" operator="notEqual">
      <formula>""</formula>
    </cfRule>
  </conditionalFormatting>
  <conditionalFormatting sqref="L71:L72">
    <cfRule type="cellIs" dxfId="79" priority="75" operator="equal">
      <formula>"João"</formula>
    </cfRule>
    <cfRule type="cellIs" dxfId="78" priority="76" operator="equal">
      <formula>"Flavia"</formula>
    </cfRule>
    <cfRule type="cellIs" dxfId="77" priority="77" operator="notEqual">
      <formula>""</formula>
    </cfRule>
  </conditionalFormatting>
  <conditionalFormatting sqref="L73:L200">
    <cfRule type="cellIs" dxfId="76" priority="3" operator="equal">
      <formula>"João"</formula>
    </cfRule>
    <cfRule type="cellIs" dxfId="75" priority="4" operator="equal">
      <formula>"Flavia"</formula>
    </cfRule>
    <cfRule type="cellIs" dxfId="74" priority="5" operator="notEqual">
      <formula>""</formula>
    </cfRule>
  </conditionalFormatting>
  <conditionalFormatting sqref="O45">
    <cfRule type="cellIs" dxfId="73" priority="328" operator="notEqual">
      <formula>""</formula>
    </cfRule>
    <cfRule type="cellIs" dxfId="72" priority="329" operator="equal">
      <formula>""</formula>
    </cfRule>
  </conditionalFormatting>
  <conditionalFormatting sqref="O60:O61">
    <cfRule type="cellIs" dxfId="71" priority="153" operator="notEqual">
      <formula>""</formula>
    </cfRule>
    <cfRule type="cellIs" dxfId="70" priority="154" operator="equal">
      <formula>""</formula>
    </cfRule>
  </conditionalFormatting>
  <conditionalFormatting sqref="O66:O67">
    <cfRule type="cellIs" dxfId="69" priority="105" operator="notEqual">
      <formula>""</formula>
    </cfRule>
  </conditionalFormatting>
  <conditionalFormatting sqref="O10:P59">
    <cfRule type="cellIs" dxfId="68" priority="257" operator="notEqual">
      <formula>""</formula>
    </cfRule>
  </conditionalFormatting>
  <conditionalFormatting sqref="O33:P59">
    <cfRule type="cellIs" dxfId="67" priority="258" operator="equal">
      <formula>""</formula>
    </cfRule>
  </conditionalFormatting>
  <conditionalFormatting sqref="O62:P66">
    <cfRule type="cellIs" dxfId="66" priority="129" operator="notEqual">
      <formula>""</formula>
    </cfRule>
  </conditionalFormatting>
  <conditionalFormatting sqref="O62:P70">
    <cfRule type="cellIs" dxfId="65" priority="106" operator="equal">
      <formula>""</formula>
    </cfRule>
  </conditionalFormatting>
  <conditionalFormatting sqref="O68:P72">
    <cfRule type="cellIs" dxfId="64" priority="37" operator="notEqual">
      <formula>""</formula>
    </cfRule>
  </conditionalFormatting>
  <conditionalFormatting sqref="O72:P72">
    <cfRule type="cellIs" dxfId="63" priority="1750" operator="equal">
      <formula>""</formula>
    </cfRule>
  </conditionalFormatting>
  <conditionalFormatting sqref="O106:P200">
    <cfRule type="cellIs" dxfId="62" priority="824" operator="notEqual">
      <formula>""</formula>
    </cfRule>
  </conditionalFormatting>
  <conditionalFormatting sqref="O10:Q41">
    <cfRule type="cellIs" dxfId="61" priority="507" operator="equal">
      <formula>""</formula>
    </cfRule>
  </conditionalFormatting>
  <conditionalFormatting sqref="O41:Q41">
    <cfRule type="cellIs" dxfId="60" priority="523" operator="notEqual">
      <formula>""</formula>
    </cfRule>
  </conditionalFormatting>
  <conditionalFormatting sqref="O71:Q71">
    <cfRule type="cellIs" dxfId="59" priority="38" operator="equal">
      <formula>""</formula>
    </cfRule>
  </conditionalFormatting>
  <conditionalFormatting sqref="O73:Q105 I10:I200">
    <cfRule type="cellIs" dxfId="58" priority="8" operator="notEqual">
      <formula>""</formula>
    </cfRule>
  </conditionalFormatting>
  <conditionalFormatting sqref="P44:P45">
    <cfRule type="cellIs" dxfId="57" priority="326" operator="notEqual">
      <formula>""</formula>
    </cfRule>
    <cfRule type="cellIs" dxfId="56" priority="327" operator="equal">
      <formula>""</formula>
    </cfRule>
  </conditionalFormatting>
  <conditionalFormatting sqref="P58:P61">
    <cfRule type="cellIs" dxfId="55" priority="163" operator="notEqual">
      <formula>""</formula>
    </cfRule>
    <cfRule type="cellIs" dxfId="54" priority="164" operator="equal">
      <formula>""</formula>
    </cfRule>
  </conditionalFormatting>
  <conditionalFormatting sqref="P67">
    <cfRule type="cellIs" dxfId="53" priority="115" operator="notEqual">
      <formula>""</formula>
    </cfRule>
  </conditionalFormatting>
  <conditionalFormatting sqref="P71:Q71">
    <cfRule type="cellIs" dxfId="52" priority="1749" operator="notEqual">
      <formula>""</formula>
    </cfRule>
  </conditionalFormatting>
  <conditionalFormatting sqref="Q10:Q40">
    <cfRule type="cellIs" dxfId="51" priority="583" operator="equal">
      <formula>"P"</formula>
    </cfRule>
    <cfRule type="cellIs" dxfId="50" priority="584" operator="notEqual">
      <formula>""</formula>
    </cfRule>
  </conditionalFormatting>
  <conditionalFormatting sqref="Q40">
    <cfRule type="cellIs" dxfId="49" priority="578" operator="notEqual">
      <formula>""</formula>
    </cfRule>
    <cfRule type="cellIs" dxfId="48" priority="580" operator="equal">
      <formula>"P"</formula>
    </cfRule>
    <cfRule type="cellIs" dxfId="47" priority="581" operator="notEqual">
      <formula>""</formula>
    </cfRule>
  </conditionalFormatting>
  <conditionalFormatting sqref="Q40:Q41">
    <cfRule type="cellIs" dxfId="46" priority="522" operator="equal">
      <formula>"P"</formula>
    </cfRule>
  </conditionalFormatting>
  <conditionalFormatting sqref="Q41">
    <cfRule type="cellIs" dxfId="45" priority="519" operator="equal">
      <formula>"P"</formula>
    </cfRule>
    <cfRule type="cellIs" dxfId="44" priority="520" operator="notEqual">
      <formula>""</formula>
    </cfRule>
  </conditionalFormatting>
  <conditionalFormatting sqref="Q41:Q42">
    <cfRule type="cellIs" dxfId="43" priority="479" operator="equal">
      <formula>"P"</formula>
    </cfRule>
    <cfRule type="cellIs" dxfId="42" priority="480" operator="notEqual">
      <formula>""</formula>
    </cfRule>
  </conditionalFormatting>
  <conditionalFormatting sqref="Q42">
    <cfRule type="cellIs" dxfId="41" priority="476" operator="equal">
      <formula>"P"</formula>
    </cfRule>
    <cfRule type="cellIs" dxfId="40" priority="477" operator="notEqual">
      <formula>""</formula>
    </cfRule>
  </conditionalFormatting>
  <conditionalFormatting sqref="Q42:Q45">
    <cfRule type="cellIs" dxfId="39" priority="406" operator="equal">
      <formula>"P"</formula>
    </cfRule>
    <cfRule type="cellIs" dxfId="38" priority="407" operator="notEqual">
      <formula>""</formula>
    </cfRule>
  </conditionalFormatting>
  <conditionalFormatting sqref="Q42:Q72">
    <cfRule type="cellIs" dxfId="37" priority="240" operator="equal">
      <formula>""</formula>
    </cfRule>
  </conditionalFormatting>
  <conditionalFormatting sqref="Q43:Q45">
    <cfRule type="cellIs" dxfId="36" priority="403" operator="equal">
      <formula>"P"</formula>
    </cfRule>
    <cfRule type="cellIs" dxfId="35" priority="404" operator="notEqual">
      <formula>""</formula>
    </cfRule>
  </conditionalFormatting>
  <conditionalFormatting sqref="Q43:Q46">
    <cfRule type="cellIs" dxfId="34" priority="275" operator="equal">
      <formula>"P"</formula>
    </cfRule>
    <cfRule type="cellIs" dxfId="33" priority="276" operator="notEqual">
      <formula>""</formula>
    </cfRule>
  </conditionalFormatting>
  <conditionalFormatting sqref="Q46">
    <cfRule type="cellIs" dxfId="32" priority="272" operator="equal">
      <formula>"P"</formula>
    </cfRule>
    <cfRule type="cellIs" dxfId="31" priority="273" operator="notEqual">
      <formula>""</formula>
    </cfRule>
  </conditionalFormatting>
  <conditionalFormatting sqref="Q46:Q72">
    <cfRule type="cellIs" dxfId="30" priority="248" operator="equal">
      <formula>"P"</formula>
    </cfRule>
    <cfRule type="cellIs" dxfId="29" priority="249" operator="notEqual">
      <formula>""</formula>
    </cfRule>
  </conditionalFormatting>
  <conditionalFormatting sqref="Q47">
    <cfRule type="cellIs" dxfId="28" priority="238" operator="equal">
      <formula>"P"</formula>
    </cfRule>
    <cfRule type="cellIs" dxfId="27" priority="239" operator="notEqual">
      <formula>""</formula>
    </cfRule>
    <cfRule type="cellIs" dxfId="26" priority="245" operator="equal">
      <formula>"P"</formula>
    </cfRule>
    <cfRule type="cellIs" dxfId="25" priority="246" operator="notEqual">
      <formula>""</formula>
    </cfRule>
  </conditionalFormatting>
  <conditionalFormatting sqref="Q73:Q105">
    <cfRule type="cellIs" dxfId="24" priority="7" operator="equal">
      <formula>"P"</formula>
    </cfRule>
  </conditionalFormatting>
  <conditionalFormatting sqref="Q106:Q200">
    <cfRule type="cellIs" dxfId="23" priority="1656" operator="equal">
      <formula>"P"</formula>
    </cfRule>
    <cfRule type="cellIs" dxfId="22" priority="1657" operator="notEqual">
      <formula>""</formula>
    </cfRule>
  </conditionalFormatting>
  <conditionalFormatting sqref="Q109:Q200">
    <cfRule type="cellIs" dxfId="21" priority="1316" operator="equal">
      <formula>"P"</formula>
    </cfRule>
    <cfRule type="cellIs" dxfId="20" priority="1323" operator="notEqual">
      <formula>""</formula>
    </cfRule>
    <cfRule type="cellIs" dxfId="19" priority="1639" operator="equal">
      <formula>"P"</formula>
    </cfRule>
    <cfRule type="cellIs" dxfId="18" priority="1640" operator="notEqual">
      <formula>""</formula>
    </cfRule>
  </conditionalFormatting>
  <conditionalFormatting sqref="R10:R200">
    <cfRule type="cellIs" dxfId="17" priority="41" operator="notEqual">
      <formula>""</formula>
    </cfRule>
    <cfRule type="cellIs" dxfId="16" priority="42" operator="equal">
      <formula>""</formula>
    </cfRule>
  </conditionalFormatting>
  <conditionalFormatting sqref="S10:S200">
    <cfRule type="cellIs" dxfId="15" priority="252" operator="notEqual">
      <formula>""</formula>
    </cfRule>
    <cfRule type="cellIs" dxfId="14" priority="255" operator="equal">
      <formula>""</formula>
    </cfRule>
  </conditionalFormatting>
  <conditionalFormatting sqref="T10:T200">
    <cfRule type="cellIs" dxfId="13" priority="251" operator="notEqual">
      <formula>""</formula>
    </cfRule>
    <cfRule type="cellIs" dxfId="12" priority="254" operator="equal">
      <formula>""</formula>
    </cfRule>
  </conditionalFormatting>
  <conditionalFormatting sqref="V10:V200">
    <cfRule type="cellIs" dxfId="11" priority="1753" operator="notEqual">
      <formula>""</formula>
    </cfRule>
    <cfRule type="cellIs" dxfId="10" priority="1754" operator="equal">
      <formula>""</formula>
    </cfRule>
  </conditionalFormatting>
  <conditionalFormatting sqref="AC21">
    <cfRule type="cellIs" dxfId="9" priority="1764" operator="equal">
      <formula>""</formula>
    </cfRule>
    <cfRule type="cellIs" dxfId="8" priority="1765" operator="equal">
      <formula>"A"</formula>
    </cfRule>
    <cfRule type="cellIs" dxfId="7" priority="1766" operator="equal">
      <formula>"S"</formula>
    </cfRule>
  </conditionalFormatting>
  <conditionalFormatting sqref="AD21">
    <cfRule type="cellIs" dxfId="6" priority="1767" operator="equal">
      <formula>""</formula>
    </cfRule>
    <cfRule type="cellIs" dxfId="5" priority="1768" operator="greaterThan">
      <formula>0</formula>
    </cfRule>
    <cfRule type="cellIs" dxfId="4" priority="1769" operator="lessThan">
      <formula>0</formula>
    </cfRule>
  </conditionalFormatting>
  <conditionalFormatting sqref="AG21">
    <cfRule type="cellIs" dxfId="3" priority="1761" operator="equal">
      <formula>""</formula>
    </cfRule>
    <cfRule type="cellIs" dxfId="2" priority="1762" operator="equal">
      <formula>"A"</formula>
    </cfRule>
    <cfRule type="cellIs" dxfId="1" priority="1763" operator="equal">
      <formula>"S"</formula>
    </cfRule>
  </conditionalFormatting>
  <conditionalFormatting sqref="AP5:AP107 AP110:AP129 AP132:AP151 AP154:AP173">
    <cfRule type="cellIs" dxfId="0" priority="1770" operator="equal">
      <formula>"O"</formula>
    </cfRule>
  </conditionalFormatting>
  <dataValidations disablePrompts="1" count="5">
    <dataValidation type="list" allowBlank="1" showInputMessage="1" showErrorMessage="1" sqref="L10:L70 L72:L200" xr:uid="{00000000-0002-0000-0100-000000000000}">
      <formula1>$BS$4:$BS$24</formula1>
    </dataValidation>
    <dataValidation type="list" allowBlank="1" showInputMessage="1" showErrorMessage="1" sqref="I10:I200" xr:uid="{00000000-0002-0000-0100-000001000000}">
      <formula1>$BT$4:$BT$6</formula1>
    </dataValidation>
    <dataValidation type="list" allowBlank="1" showInputMessage="1" showErrorMessage="1" sqref="O10:O200" xr:uid="{00000000-0002-0000-0100-000002000000}">
      <formula1>$BQ$4:$BQ$7</formula1>
    </dataValidation>
    <dataValidation type="list" allowBlank="1" showInputMessage="1" showErrorMessage="1" sqref="P10:P200" xr:uid="{00000000-0002-0000-0100-000003000000}">
      <formula1>$BR$4:$BR$9</formula1>
    </dataValidation>
    <dataValidation type="list" allowBlank="1" showInputMessage="1" showErrorMessage="1" sqref="L71" xr:uid="{00000000-0002-0000-0100-000004000000}">
      <formula1>$BQ$4:$BQ$24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AC39 AC69 AD31 AE31:AE37 AF30 AE60:AE67 AE69:AE79 AE39:AE49" 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Nov 26</vt:lpstr>
      <vt:lpstr>Out 26</vt:lpstr>
      <vt:lpstr>Set 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Hudson</dc:creator>
  <cp:lastModifiedBy>Hudson Marley Patta Ribeiro</cp:lastModifiedBy>
  <cp:lastPrinted>2026-09-16T05:14:10Z</cp:lastPrinted>
  <dcterms:created xsi:type="dcterms:W3CDTF">2026-08-21T19:08:05Z</dcterms:created>
  <dcterms:modified xsi:type="dcterms:W3CDTF">2026-10-25T17:23:31Z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333b259-87ee-4762-9a8c-7b0d155dd87f_Enabled">
    <vt:lpwstr>true</vt:lpwstr>
  </property>
  <property fmtid="{D5CDD505-2E9C-101B-9397-08002B2CF9AE}" pid="3" name="MSIP_Label_9333b259-87ee-4762-9a8c-7b0d155dd87f_SetDate">
    <vt:lpwstr>2026-09-28T13:21:08Z</vt:lpwstr>
  </property>
  <property fmtid="{D5CDD505-2E9C-101B-9397-08002B2CF9AE}" pid="4" name="MSIP_Label_9333b259-87ee-4762-9a8c-7b0d155dd87f_Method">
    <vt:lpwstr>Privileged</vt:lpwstr>
  </property>
  <property fmtid="{D5CDD505-2E9C-101B-9397-08002B2CF9AE}" pid="5" name="MSIP_Label_9333b259-87ee-4762-9a8c-7b0d155dd87f_Name">
    <vt:lpwstr>_PESSOAL</vt:lpwstr>
  </property>
  <property fmtid="{D5CDD505-2E9C-101B-9397-08002B2CF9AE}" pid="6" name="MSIP_Label_9333b259-87ee-4762-9a8c-7b0d155dd87f_SiteId">
    <vt:lpwstr>ab9bba98-684a-43fb-add8-9c2bebede229</vt:lpwstr>
  </property>
  <property fmtid="{D5CDD505-2E9C-101B-9397-08002B2CF9AE}" pid="7" name="MSIP_Label_9333b259-87ee-4762-9a8c-7b0d155dd87f_ActionId">
    <vt:lpwstr>498cd93d-f6ea-428b-bba4-86ec3ec4827a</vt:lpwstr>
  </property>
  <property fmtid="{D5CDD505-2E9C-101B-9397-08002B2CF9AE}" pid="8" name="MSIP_Label_9333b259-87ee-4762-9a8c-7b0d155dd87f_ContentBits">
    <vt:lpwstr>1</vt:lpwstr>
  </property>
</Properties>
</file>